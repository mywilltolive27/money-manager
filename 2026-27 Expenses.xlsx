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F9D4362-D44B-4B94-8DEC-58F3DAB086DD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07-26" sheetId="1" r:id="rId1"/>
    <sheet name="06-26" sheetId="2" r:id="rId2"/>
    <sheet name="05-26" sheetId="3" r:id="rId3"/>
    <sheet name="04-26" sheetId="4" r:id="rId4"/>
    <sheet name="Analysis" sheetId="5" r:id="rId5"/>
    <sheet name="Jun 26 - Review" sheetId="6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xlnm._FilterDatabase" localSheetId="4" hidden="1">Analysis!$A$1:$D$248</definedName>
    <definedName name="StartingBalanc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4" i="4" l="1"/>
  <c r="V44" i="4"/>
  <c r="O43" i="4"/>
  <c r="O42" i="4"/>
  <c r="W41" i="4"/>
  <c r="V41" i="4"/>
  <c r="O41" i="4"/>
  <c r="W40" i="4"/>
  <c r="V40" i="4"/>
  <c r="O40" i="4"/>
  <c r="W39" i="4"/>
  <c r="V39" i="4"/>
  <c r="O39" i="4"/>
  <c r="W38" i="4"/>
  <c r="V38" i="4"/>
  <c r="O38" i="4"/>
  <c r="W37" i="4"/>
  <c r="V37" i="4"/>
  <c r="O37" i="4"/>
  <c r="W36" i="4"/>
  <c r="V36" i="4"/>
  <c r="O36" i="4"/>
  <c r="W35" i="4"/>
  <c r="V35" i="4"/>
  <c r="O35" i="4"/>
  <c r="W34" i="4"/>
  <c r="V34" i="4"/>
  <c r="O34" i="4"/>
  <c r="U33" i="4"/>
  <c r="O33" i="4"/>
  <c r="U32" i="4"/>
  <c r="O32" i="4"/>
  <c r="U31" i="4"/>
  <c r="O31" i="4"/>
  <c r="U30" i="4"/>
  <c r="O30" i="4"/>
  <c r="U29" i="4"/>
  <c r="O29" i="4"/>
  <c r="O21" i="4" s="1"/>
  <c r="U28" i="4"/>
  <c r="O28" i="4"/>
  <c r="U27" i="4"/>
  <c r="U26" i="4" s="1"/>
  <c r="T21" i="4" s="1"/>
  <c r="O27" i="4"/>
  <c r="O26" i="4" s="1"/>
  <c r="N21" i="4" s="1"/>
  <c r="U21" i="4"/>
  <c r="C49" i="3"/>
  <c r="W44" i="3"/>
  <c r="V44" i="3"/>
  <c r="O43" i="3"/>
  <c r="O42" i="3"/>
  <c r="W41" i="3"/>
  <c r="V41" i="3"/>
  <c r="O41" i="3"/>
  <c r="W40" i="3"/>
  <c r="V40" i="3"/>
  <c r="O40" i="3"/>
  <c r="W39" i="3"/>
  <c r="V39" i="3"/>
  <c r="O39" i="3"/>
  <c r="C39" i="3"/>
  <c r="W38" i="3"/>
  <c r="V38" i="3"/>
  <c r="O38" i="3"/>
  <c r="W37" i="3"/>
  <c r="V37" i="3"/>
  <c r="O37" i="3"/>
  <c r="W36" i="3"/>
  <c r="V36" i="3"/>
  <c r="O36" i="3"/>
  <c r="W35" i="3"/>
  <c r="V35" i="3"/>
  <c r="O35" i="3"/>
  <c r="W34" i="3"/>
  <c r="V34" i="3"/>
  <c r="C34" i="3"/>
  <c r="U33" i="3"/>
  <c r="O33" i="3"/>
  <c r="U32" i="3"/>
  <c r="O32" i="3"/>
  <c r="U31" i="3"/>
  <c r="U26" i="3" s="1"/>
  <c r="T21" i="3" s="1"/>
  <c r="O31" i="3"/>
  <c r="U30" i="3"/>
  <c r="O30" i="3"/>
  <c r="U29" i="3"/>
  <c r="O29" i="3"/>
  <c r="U28" i="3"/>
  <c r="O28" i="3"/>
  <c r="U27" i="3"/>
  <c r="O27" i="3"/>
  <c r="U21" i="3"/>
  <c r="C16" i="3"/>
  <c r="O34" i="3" s="1"/>
  <c r="C15" i="3"/>
  <c r="C56" i="2"/>
  <c r="W44" i="2"/>
  <c r="V44" i="2"/>
  <c r="O43" i="2"/>
  <c r="O42" i="2"/>
  <c r="W41" i="2"/>
  <c r="V41" i="2"/>
  <c r="O41" i="2"/>
  <c r="C41" i="2"/>
  <c r="W40" i="2"/>
  <c r="V40" i="2"/>
  <c r="O40" i="2"/>
  <c r="C40" i="2"/>
  <c r="W39" i="2"/>
  <c r="V39" i="2"/>
  <c r="O39" i="2"/>
  <c r="W38" i="2"/>
  <c r="V38" i="2"/>
  <c r="O38" i="2"/>
  <c r="W37" i="2"/>
  <c r="V37" i="2"/>
  <c r="O37" i="2"/>
  <c r="C37" i="2"/>
  <c r="O28" i="2" s="1"/>
  <c r="W36" i="2"/>
  <c r="V36" i="2"/>
  <c r="W35" i="2"/>
  <c r="V35" i="2"/>
  <c r="O35" i="2"/>
  <c r="W34" i="2"/>
  <c r="V34" i="2"/>
  <c r="U33" i="2"/>
  <c r="U32" i="2"/>
  <c r="O32" i="2"/>
  <c r="U31" i="2"/>
  <c r="O31" i="2"/>
  <c r="U30" i="2"/>
  <c r="O30" i="2"/>
  <c r="C30" i="2"/>
  <c r="U29" i="2"/>
  <c r="O29" i="2"/>
  <c r="C29" i="2"/>
  <c r="U28" i="2"/>
  <c r="U27" i="2"/>
  <c r="U26" i="2" s="1"/>
  <c r="T21" i="2" s="1"/>
  <c r="O27" i="2"/>
  <c r="C26" i="2"/>
  <c r="O33" i="2" s="1"/>
  <c r="C24" i="2"/>
  <c r="O36" i="2" s="1"/>
  <c r="C23" i="2"/>
  <c r="U21" i="2"/>
  <c r="C15" i="2"/>
  <c r="O34" i="2" s="1"/>
  <c r="C9" i="2"/>
  <c r="W44" i="1"/>
  <c r="V44" i="1"/>
  <c r="O43" i="1"/>
  <c r="O42" i="1"/>
  <c r="W41" i="1"/>
  <c r="V41" i="1"/>
  <c r="O41" i="1"/>
  <c r="W40" i="1"/>
  <c r="V40" i="1"/>
  <c r="O40" i="1"/>
  <c r="W39" i="1"/>
  <c r="V39" i="1"/>
  <c r="O39" i="1"/>
  <c r="W38" i="1"/>
  <c r="V38" i="1"/>
  <c r="O38" i="1"/>
  <c r="W37" i="1"/>
  <c r="V37" i="1"/>
  <c r="O37" i="1"/>
  <c r="W36" i="1"/>
  <c r="V36" i="1"/>
  <c r="O36" i="1"/>
  <c r="W35" i="1"/>
  <c r="V35" i="1"/>
  <c r="O35" i="1"/>
  <c r="W34" i="1"/>
  <c r="V34" i="1"/>
  <c r="O34" i="1"/>
  <c r="U33" i="1"/>
  <c r="O33" i="1"/>
  <c r="U32" i="1"/>
  <c r="O32" i="1"/>
  <c r="C32" i="1"/>
  <c r="O28" i="1" s="1"/>
  <c r="U31" i="1"/>
  <c r="O31" i="1"/>
  <c r="U30" i="1"/>
  <c r="O30" i="1"/>
  <c r="U29" i="1"/>
  <c r="O29" i="1"/>
  <c r="U28" i="1"/>
  <c r="U26" i="1" s="1"/>
  <c r="T21" i="1" s="1"/>
  <c r="U27" i="1"/>
  <c r="O27" i="1"/>
  <c r="C27" i="1"/>
  <c r="U21" i="1"/>
  <c r="C17" i="1"/>
  <c r="C16" i="1"/>
  <c r="O21" i="1" l="1"/>
  <c r="N22" i="1"/>
  <c r="N22" i="2"/>
  <c r="O21" i="2"/>
  <c r="O26" i="2"/>
  <c r="N21" i="2" s="1"/>
  <c r="O23" i="4"/>
  <c r="O26" i="1"/>
  <c r="N21" i="1" s="1"/>
  <c r="O23" i="1"/>
  <c r="O21" i="3"/>
  <c r="O23" i="2"/>
  <c r="N22" i="3"/>
  <c r="N22" i="4"/>
  <c r="O26" i="3"/>
  <c r="N21" i="3" s="1"/>
  <c r="O23" i="3" s="1"/>
</calcChain>
</file>

<file path=xl/sharedStrings.xml><?xml version="1.0" encoding="utf-8"?>
<sst xmlns="http://schemas.openxmlformats.org/spreadsheetml/2006/main" count="587" uniqueCount="120">
  <si>
    <t>Change or add categories by updating the Expenses and Income tables in the SumJuly sheet.</t>
  </si>
  <si>
    <t>Expenses</t>
  </si>
  <si>
    <t>Income</t>
  </si>
  <si>
    <t>Monthly Budget</t>
  </si>
  <si>
    <t>Date</t>
  </si>
  <si>
    <t>Amount</t>
  </si>
  <si>
    <t>Description</t>
  </si>
  <si>
    <t>Category</t>
  </si>
  <si>
    <t>Broadband &amp; TV</t>
  </si>
  <si>
    <t>Utilities</t>
  </si>
  <si>
    <t>Salary</t>
  </si>
  <si>
    <t>Paycheck</t>
  </si>
  <si>
    <t>PO</t>
  </si>
  <si>
    <t>Savings-Mandatory</t>
  </si>
  <si>
    <t>RD</t>
  </si>
  <si>
    <t>OTT</t>
  </si>
  <si>
    <t>Entertainment</t>
  </si>
  <si>
    <t>Maintenance</t>
  </si>
  <si>
    <t>Car EMI</t>
  </si>
  <si>
    <t>EMI</t>
  </si>
  <si>
    <t>investments</t>
  </si>
  <si>
    <t>Savings-Optional</t>
  </si>
  <si>
    <t>maid</t>
  </si>
  <si>
    <t>phone EMI</t>
  </si>
  <si>
    <t>Meera</t>
  </si>
  <si>
    <t>Personal</t>
  </si>
  <si>
    <t>eat out</t>
  </si>
  <si>
    <t>Food</t>
  </si>
  <si>
    <t>cbe travel</t>
  </si>
  <si>
    <t>Travel</t>
  </si>
  <si>
    <t>cbe food</t>
  </si>
  <si>
    <t>cbe stay</t>
  </si>
  <si>
    <t>HDFC cashback</t>
  </si>
  <si>
    <t>umbrella</t>
  </si>
  <si>
    <t>Excluding Optional investment</t>
  </si>
  <si>
    <t xml:space="preserve">eat out </t>
  </si>
  <si>
    <t>Actual</t>
  </si>
  <si>
    <t xml:space="preserve">Groceries </t>
  </si>
  <si>
    <t>Groceries</t>
  </si>
  <si>
    <t>Living expense</t>
  </si>
  <si>
    <t>bag n fryer</t>
  </si>
  <si>
    <t>Home</t>
  </si>
  <si>
    <t>Surplus</t>
  </si>
  <si>
    <t>Eat out</t>
  </si>
  <si>
    <t>Totals</t>
  </si>
  <si>
    <t xml:space="preserve">veggies </t>
  </si>
  <si>
    <t xml:space="preserve">Badminton </t>
  </si>
  <si>
    <t>Savings</t>
  </si>
  <si>
    <t>Glanzy petrol</t>
  </si>
  <si>
    <t>Transportation</t>
  </si>
  <si>
    <t>Gifts</t>
  </si>
  <si>
    <t xml:space="preserve">shankars </t>
  </si>
  <si>
    <t>Health/medical</t>
  </si>
  <si>
    <t>Bonus</t>
  </si>
  <si>
    <t xml:space="preserve">eggs </t>
  </si>
  <si>
    <t>Interest</t>
  </si>
  <si>
    <t>Other</t>
  </si>
  <si>
    <t>massage</t>
  </si>
  <si>
    <t xml:space="preserve">Custom category </t>
  </si>
  <si>
    <t>Tax</t>
  </si>
  <si>
    <t xml:space="preserve">footwear </t>
  </si>
  <si>
    <t>auto service</t>
  </si>
  <si>
    <t>Child expenses</t>
  </si>
  <si>
    <t xml:space="preserve">Experiences </t>
  </si>
  <si>
    <t>Insurance</t>
  </si>
  <si>
    <t>Change or add categories by updating the Expenses and Income tables in the SumJuny sheet.</t>
  </si>
  <si>
    <t>egbana</t>
  </si>
  <si>
    <t xml:space="preserve">welmart </t>
  </si>
  <si>
    <t>school fees</t>
  </si>
  <si>
    <t xml:space="preserve">amz shopping </t>
  </si>
  <si>
    <t>Shankars stores</t>
  </si>
  <si>
    <t>Print photostat meera</t>
  </si>
  <si>
    <t>Tubes</t>
  </si>
  <si>
    <t xml:space="preserve">Janitorial </t>
  </si>
  <si>
    <t>amma meds</t>
  </si>
  <si>
    <t xml:space="preserve">biriyani </t>
  </si>
  <si>
    <t xml:space="preserve">dry fruits </t>
  </si>
  <si>
    <t xml:space="preserve">egbana </t>
  </si>
  <si>
    <t xml:space="preserve">washing machine repair </t>
  </si>
  <si>
    <t xml:space="preserve">life insurance </t>
  </si>
  <si>
    <t>eggs</t>
  </si>
  <si>
    <t>snacks</t>
  </si>
  <si>
    <t>amazon meera</t>
  </si>
  <si>
    <t xml:space="preserve">choco powder </t>
  </si>
  <si>
    <t xml:space="preserve">badminton cricket </t>
  </si>
  <si>
    <t xml:space="preserve">haircut </t>
  </si>
  <si>
    <t xml:space="preserve">meera stationary </t>
  </si>
  <si>
    <t>kseb</t>
  </si>
  <si>
    <t>Change or add categories by updating the Expenses and Income tables in the SumMayy sheet.</t>
  </si>
  <si>
    <t>welmart</t>
  </si>
  <si>
    <t xml:space="preserve">blood test </t>
  </si>
  <si>
    <t xml:space="preserve">ice cream </t>
  </si>
  <si>
    <t xml:space="preserve">home  shopping </t>
  </si>
  <si>
    <t>shankars stores</t>
  </si>
  <si>
    <t xml:space="preserve">badminton </t>
  </si>
  <si>
    <t>home stuff</t>
  </si>
  <si>
    <t>meds</t>
  </si>
  <si>
    <t xml:space="preserve">petrol </t>
  </si>
  <si>
    <t xml:space="preserve">protein powder </t>
  </si>
  <si>
    <t xml:space="preserve">home pipe n pesticide </t>
  </si>
  <si>
    <t xml:space="preserve">groceries </t>
  </si>
  <si>
    <t xml:space="preserve">Duolingo </t>
  </si>
  <si>
    <t>Change or add categories by updating the Expenses and Income tables in the SumApry sheet.</t>
  </si>
  <si>
    <t>investments SSKY</t>
  </si>
  <si>
    <t>clothes</t>
  </si>
  <si>
    <t>sundry</t>
  </si>
  <si>
    <t>glanzy petrol</t>
  </si>
  <si>
    <t>gut string</t>
  </si>
  <si>
    <t>Cricket</t>
  </si>
  <si>
    <t>achus textbook s</t>
  </si>
  <si>
    <t>banana</t>
  </si>
  <si>
    <t xml:space="preserve">exhibition </t>
  </si>
  <si>
    <t xml:space="preserve">cricket </t>
  </si>
  <si>
    <t>movies</t>
  </si>
  <si>
    <t xml:space="preserve">rao groceries </t>
  </si>
  <si>
    <t>shankars</t>
  </si>
  <si>
    <t>milk</t>
  </si>
  <si>
    <t xml:space="preserve">achus uniform </t>
  </si>
  <si>
    <t>photostat</t>
  </si>
  <si>
    <t>Month-Year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</si>
</sst>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[$₹]#,##0"/>
    <numFmt numFmtId="165" formatCode="d&quot;-&quot;mmm"/>
    <numFmt numFmtId="166" formatCode="mmmm&quot; &quot;yyyy"/>
    <numFmt numFmtId="167" formatCode="m/d/yyyy"/>
    <numFmt numFmtId="168" formatCode="&quot;$&quot;#,##0.00"/>
    <numFmt numFmtId="169" formatCode="&quot;$&quot;#,##0"/>
    <numFmt numFmtId="170" formatCode="\+#,###%;\-#,###%;0%"/>
    <numFmt numFmtId="171" formatCode="[$₹]#,##0.00"/>
    <numFmt numFmtId="172" formatCode="\+\$#,###;\-\$#,###;\$0"/>
    <numFmt numFmtId="173" formatCode="d\-mmm"/>
  </numFmts>
  <fonts count="43" x14ac:knownFonts="1">
    <font>
      <sz val="10"/>
      <color rgb="FF000000"/>
      <name val="Arial"/>
    </font>
    <font>
      <i/>
      <sz val="10"/>
      <color rgb="FF708090"/>
      <name val="Lato"/>
    </font>
    <font>
      <i/>
      <sz val="10"/>
      <color rgb="FFCCCCCC"/>
      <name val="Lato"/>
    </font>
    <font>
      <sz val="10"/>
      <color rgb="FFF46524"/>
      <name val="Lato"/>
    </font>
    <font>
      <b/>
      <sz val="18"/>
      <color rgb="FFF46524"/>
      <name val="Raleway"/>
    </font>
    <font>
      <sz val="10"/>
      <name val="Lato"/>
    </font>
    <font>
      <sz val="10"/>
      <name val="Lato"/>
    </font>
    <font>
      <sz val="10"/>
      <color rgb="FF334960"/>
      <name val="Lato"/>
    </font>
    <font>
      <b/>
      <sz val="25"/>
      <color rgb="FFF46524"/>
      <name val="Raleway"/>
    </font>
    <font>
      <sz val="10"/>
      <color rgb="FF334960"/>
      <name val="Lato"/>
    </font>
    <font>
      <b/>
      <sz val="10"/>
      <color rgb="FF334960"/>
      <name val="Lato"/>
    </font>
    <font>
      <b/>
      <sz val="11"/>
      <color rgb="FF334960"/>
      <name val="Lato"/>
    </font>
    <font>
      <i/>
      <sz val="10"/>
      <color rgb="FF334960"/>
      <name val="Lato"/>
    </font>
    <font>
      <sz val="10"/>
      <color rgb="FF687887"/>
      <name val="Lato"/>
    </font>
    <font>
      <b/>
      <sz val="10"/>
      <color rgb="FF576475"/>
      <name val="Lato"/>
    </font>
    <font>
      <sz val="10"/>
      <color rgb="FF556376"/>
      <name val="Lato"/>
    </font>
    <font>
      <sz val="10"/>
      <color rgb="FF576475"/>
      <name val="Lato"/>
    </font>
    <font>
      <b/>
      <sz val="25"/>
      <color rgb="FF334960"/>
      <name val="Lato"/>
    </font>
    <font>
      <b/>
      <sz val="10"/>
      <name val="Lato"/>
    </font>
    <font>
      <sz val="24"/>
      <color rgb="FF334960"/>
      <name val="Lato"/>
    </font>
    <font>
      <b/>
      <sz val="24"/>
      <color rgb="FF334960"/>
      <name val="Lato"/>
    </font>
    <font>
      <i/>
      <sz val="10"/>
      <color rgb="FF576475"/>
      <name val="Lato"/>
    </font>
    <font>
      <b/>
      <sz val="10"/>
      <name val="Lato"/>
    </font>
    <font>
      <b/>
      <sz val="14"/>
      <color rgb="FF334960"/>
      <name val="Lato"/>
    </font>
    <font>
      <b/>
      <sz val="14"/>
      <color rgb="FFF46524"/>
      <name val="Lato"/>
    </font>
    <font>
      <sz val="14"/>
      <name val="Lato"/>
    </font>
    <font>
      <b/>
      <sz val="10"/>
      <color rgb="FF334960"/>
      <name val="Lato"/>
    </font>
    <font>
      <b/>
      <sz val="10"/>
      <color rgb="FF666666"/>
      <name val="Lato"/>
    </font>
    <font>
      <sz val="10"/>
      <color rgb="FF666666"/>
      <name val="Lato"/>
    </font>
    <font>
      <b/>
      <sz val="10"/>
      <color rgb="FFF46524"/>
      <name val="Lato"/>
    </font>
    <font>
      <b/>
      <sz val="17"/>
      <color rgb="FFF46524"/>
      <name val="Raleway"/>
    </font>
    <font>
      <b/>
      <sz val="18"/>
      <color rgb="FFF46524"/>
      <name val="Lato"/>
    </font>
    <font>
      <b/>
      <sz val="17"/>
      <color rgb="FF334960"/>
      <name val="Lato"/>
    </font>
    <font>
      <b/>
      <sz val="18"/>
      <color rgb="FF334960"/>
      <name val="Lato"/>
    </font>
    <font>
      <sz val="18"/>
      <color rgb="FF334960"/>
      <name val="Lato"/>
    </font>
    <font>
      <i/>
      <sz val="9"/>
      <color rgb="FF687887"/>
      <name val="Lato"/>
    </font>
    <font>
      <b/>
      <sz val="10"/>
      <color rgb="FF434343"/>
      <name val="Lato"/>
    </font>
    <font>
      <sz val="10"/>
      <name val="Arial"/>
    </font>
    <font>
      <sz val="10"/>
      <color rgb="FF434343"/>
      <name val="Lato"/>
    </font>
    <font>
      <b/>
      <sz val="10"/>
      <color rgb="FF434343"/>
      <name val="Lato"/>
    </font>
    <font>
      <sz val="10"/>
      <color rgb="FF434343"/>
      <name val="Lato"/>
    </font>
    <font>
      <sz val="10"/>
      <color rgb="FFFFFFFF"/>
      <name val="Roboto"/>
    </font>
    <font>
      <sz val="10"/>
      <color rgb="FF434343"/>
      <name val="Roboto"/>
    </font>
  </fonts>
  <fills count="7">
    <fill>
      <patternFill patternType="none"/>
    </fill>
    <fill>
      <patternFill patternType="gray125"/>
    </fill>
    <fill>
      <patternFill patternType="solid">
        <fgColor rgb="FF334960"/>
        <bgColor rgb="FF334960"/>
      </patternFill>
    </fill>
    <fill>
      <patternFill patternType="solid">
        <fgColor rgb="FFFFFFFF"/>
        <bgColor rgb="FFFFFFFF"/>
      </patternFill>
    </fill>
    <fill>
      <patternFill patternType="solid">
        <fgColor rgb="FFFFF2ED"/>
        <bgColor rgb="FFFFF2ED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15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hair">
        <color rgb="FFD9D9D9"/>
      </bottom>
      <diagonal/>
    </border>
    <border>
      <left/>
      <right/>
      <top style="hair">
        <color rgb="FFD9D9D9"/>
      </top>
      <bottom style="hair">
        <color rgb="FFD9D9D9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A7B0BF"/>
      </top>
      <bottom/>
      <diagonal/>
    </border>
    <border>
      <left/>
      <right/>
      <top/>
      <bottom style="thin">
        <color rgb="FFA7B0B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hair">
        <color rgb="FFD9D9D9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2" borderId="0" xfId="0" applyFont="1" applyFill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right" vertical="top"/>
    </xf>
    <xf numFmtId="0" fontId="5" fillId="0" borderId="1" xfId="0" applyFont="1" applyBorder="1"/>
    <xf numFmtId="0" fontId="3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6" fillId="0" borderId="0" xfId="0" applyFont="1"/>
    <xf numFmtId="164" fontId="9" fillId="4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vertical="top"/>
    </xf>
    <xf numFmtId="165" fontId="13" fillId="0" borderId="2" xfId="0" applyNumberFormat="1" applyFont="1" applyBorder="1" applyAlignment="1">
      <alignment horizontal="left" vertical="center"/>
    </xf>
    <xf numFmtId="164" fontId="14" fillId="0" borderId="2" xfId="0" applyNumberFormat="1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166" fontId="17" fillId="3" borderId="0" xfId="0" applyNumberFormat="1" applyFont="1" applyFill="1" applyAlignment="1">
      <alignment horizontal="left" vertical="top"/>
    </xf>
    <xf numFmtId="0" fontId="13" fillId="0" borderId="3" xfId="0" applyFont="1" applyBorder="1" applyAlignment="1">
      <alignment horizontal="left" vertical="center"/>
    </xf>
    <xf numFmtId="167" fontId="13" fillId="0" borderId="3" xfId="0" applyNumberFormat="1" applyFont="1" applyBorder="1" applyAlignment="1">
      <alignment horizontal="left" vertical="center"/>
    </xf>
    <xf numFmtId="168" fontId="14" fillId="0" borderId="3" xfId="0" applyNumberFormat="1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9" fillId="3" borderId="0" xfId="0" applyFont="1" applyFill="1" applyAlignment="1">
      <alignment vertical="top"/>
    </xf>
    <xf numFmtId="0" fontId="7" fillId="3" borderId="0" xfId="0" applyFont="1" applyFill="1" applyAlignment="1">
      <alignment vertical="top"/>
    </xf>
    <xf numFmtId="0" fontId="12" fillId="3" borderId="0" xfId="0" applyFont="1" applyFill="1" applyAlignment="1">
      <alignment vertical="top"/>
    </xf>
    <xf numFmtId="0" fontId="18" fillId="0" borderId="0" xfId="0" applyFont="1"/>
    <xf numFmtId="0" fontId="5" fillId="0" borderId="0" xfId="0" applyFont="1" applyAlignment="1">
      <alignment horizontal="left"/>
    </xf>
    <xf numFmtId="0" fontId="6" fillId="3" borderId="0" xfId="0" applyFont="1" applyFill="1"/>
    <xf numFmtId="0" fontId="5" fillId="3" borderId="0" xfId="0" applyFont="1" applyFill="1"/>
    <xf numFmtId="169" fontId="5" fillId="0" borderId="0" xfId="0" applyNumberFormat="1" applyFont="1"/>
    <xf numFmtId="0" fontId="20" fillId="3" borderId="0" xfId="0" applyFont="1" applyFill="1" applyAlignment="1">
      <alignment horizontal="left"/>
    </xf>
    <xf numFmtId="9" fontId="20" fillId="3" borderId="0" xfId="0" applyNumberFormat="1" applyFont="1" applyFill="1" applyAlignment="1">
      <alignment horizontal="left"/>
    </xf>
    <xf numFmtId="169" fontId="5" fillId="3" borderId="0" xfId="0" applyNumberFormat="1" applyFont="1" applyFill="1"/>
    <xf numFmtId="0" fontId="22" fillId="0" borderId="0" xfId="0" applyFont="1"/>
    <xf numFmtId="0" fontId="23" fillId="0" borderId="0" xfId="0" applyFont="1" applyAlignment="1">
      <alignment horizontal="right"/>
    </xf>
    <xf numFmtId="169" fontId="24" fillId="0" borderId="0" xfId="0" applyNumberFormat="1" applyFont="1" applyAlignment="1">
      <alignment horizontal="left"/>
    </xf>
    <xf numFmtId="169" fontId="18" fillId="3" borderId="0" xfId="0" applyNumberFormat="1" applyFont="1" applyFill="1"/>
    <xf numFmtId="0" fontId="21" fillId="3" borderId="0" xfId="0" applyFont="1" applyFill="1" applyAlignment="1">
      <alignment horizontal="left" vertical="top"/>
    </xf>
    <xf numFmtId="0" fontId="25" fillId="0" borderId="0" xfId="0" applyFont="1" applyAlignment="1">
      <alignment vertical="center"/>
    </xf>
    <xf numFmtId="0" fontId="23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5" fillId="3" borderId="0" xfId="0" applyFont="1" applyFill="1" applyAlignment="1">
      <alignment vertical="center"/>
    </xf>
    <xf numFmtId="164" fontId="7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164" fontId="27" fillId="6" borderId="0" xfId="0" applyNumberFormat="1" applyFont="1" applyFill="1" applyAlignment="1">
      <alignment horizontal="left" vertical="center"/>
    </xf>
    <xf numFmtId="169" fontId="28" fillId="0" borderId="0" xfId="0" applyNumberFormat="1" applyFont="1" applyAlignment="1">
      <alignment horizontal="right"/>
    </xf>
    <xf numFmtId="0" fontId="29" fillId="0" borderId="0" xfId="0" applyFont="1" applyAlignment="1">
      <alignment vertical="top"/>
    </xf>
    <xf numFmtId="0" fontId="22" fillId="0" borderId="0" xfId="0" applyFont="1" applyAlignment="1">
      <alignment vertical="top"/>
    </xf>
    <xf numFmtId="0" fontId="29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0" fontId="31" fillId="0" borderId="0" xfId="0" applyFont="1" applyAlignment="1">
      <alignment horizontal="left" vertical="top"/>
    </xf>
    <xf numFmtId="0" fontId="7" fillId="0" borderId="4" xfId="0" applyFont="1" applyBorder="1"/>
    <xf numFmtId="0" fontId="11" fillId="0" borderId="5" xfId="0" applyFont="1" applyBorder="1" applyAlignment="1">
      <alignment horizontal="right"/>
    </xf>
    <xf numFmtId="0" fontId="32" fillId="0" borderId="5" xfId="0" applyFont="1" applyBorder="1" applyAlignment="1">
      <alignment horizontal="left"/>
    </xf>
    <xf numFmtId="0" fontId="7" fillId="0" borderId="4" xfId="0" applyFont="1" applyBorder="1" applyAlignment="1">
      <alignment horizontal="right"/>
    </xf>
    <xf numFmtId="0" fontId="33" fillId="0" borderId="5" xfId="0" applyFont="1" applyBorder="1" applyAlignment="1">
      <alignment horizontal="left"/>
    </xf>
    <xf numFmtId="0" fontId="34" fillId="0" borderId="5" xfId="0" applyFont="1" applyBorder="1" applyAlignment="1">
      <alignment horizontal="left"/>
    </xf>
    <xf numFmtId="0" fontId="35" fillId="0" borderId="0" xfId="0" applyFont="1" applyAlignment="1">
      <alignment vertical="top"/>
    </xf>
    <xf numFmtId="0" fontId="35" fillId="0" borderId="6" xfId="0" applyFont="1" applyBorder="1" applyAlignment="1">
      <alignment vertical="top"/>
    </xf>
    <xf numFmtId="171" fontId="35" fillId="0" borderId="6" xfId="0" applyNumberFormat="1" applyFont="1" applyBorder="1" applyAlignment="1">
      <alignment horizontal="right" vertical="top"/>
    </xf>
    <xf numFmtId="0" fontId="35" fillId="0" borderId="0" xfId="0" applyFont="1" applyAlignment="1">
      <alignment horizontal="right" vertical="top"/>
    </xf>
    <xf numFmtId="0" fontId="35" fillId="0" borderId="6" xfId="0" applyFont="1" applyBorder="1" applyAlignment="1">
      <alignment horizontal="left" vertical="top"/>
    </xf>
    <xf numFmtId="0" fontId="35" fillId="0" borderId="6" xfId="0" applyFont="1" applyBorder="1" applyAlignment="1">
      <alignment horizontal="right" vertical="top"/>
    </xf>
    <xf numFmtId="0" fontId="7" fillId="0" borderId="0" xfId="0" applyFont="1" applyAlignment="1">
      <alignment vertical="center"/>
    </xf>
    <xf numFmtId="169" fontId="38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171" fontId="38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68" fontId="14" fillId="0" borderId="13" xfId="0" applyNumberFormat="1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14" fontId="5" fillId="0" borderId="0" xfId="0" applyNumberFormat="1" applyFont="1" applyAlignment="1">
      <alignment horizontal="right" vertical="center"/>
    </xf>
    <xf numFmtId="169" fontId="40" fillId="0" borderId="14" xfId="0" applyNumberFormat="1" applyFont="1" applyBorder="1"/>
    <xf numFmtId="172" fontId="13" fillId="0" borderId="0" xfId="0" applyNumberFormat="1" applyFont="1" applyAlignment="1">
      <alignment horizontal="right" vertical="center"/>
    </xf>
    <xf numFmtId="168" fontId="14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39" fillId="0" borderId="14" xfId="0" applyFont="1" applyBorder="1"/>
    <xf numFmtId="169" fontId="38" fillId="0" borderId="14" xfId="0" applyNumberFormat="1" applyFont="1" applyBorder="1" applyAlignment="1">
      <alignment horizontal="right" vertical="center"/>
    </xf>
    <xf numFmtId="173" fontId="13" fillId="0" borderId="2" xfId="0" applyNumberFormat="1" applyFont="1" applyBorder="1" applyAlignment="1">
      <alignment horizontal="left" vertical="center"/>
    </xf>
    <xf numFmtId="167" fontId="13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165" fontId="13" fillId="0" borderId="0" xfId="0" applyNumberFormat="1" applyFont="1" applyAlignment="1">
      <alignment horizontal="left" vertical="center"/>
    </xf>
    <xf numFmtId="164" fontId="14" fillId="0" borderId="0" xfId="0" applyNumberFormat="1" applyFont="1" applyAlignment="1">
      <alignment horizontal="left" vertical="center"/>
    </xf>
    <xf numFmtId="0" fontId="41" fillId="0" borderId="0" xfId="0" applyFont="1" applyAlignment="1">
      <alignment horizontal="left" vertical="center"/>
    </xf>
    <xf numFmtId="167" fontId="42" fillId="0" borderId="0" xfId="0" applyNumberFormat="1" applyFont="1" applyAlignment="1">
      <alignment vertical="center"/>
    </xf>
    <xf numFmtId="0" fontId="42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 wrapText="1"/>
    </xf>
    <xf numFmtId="0" fontId="0" fillId="0" borderId="0" xfId="0"/>
    <xf numFmtId="0" fontId="8" fillId="3" borderId="0" xfId="0" applyFont="1" applyFill="1" applyAlignment="1">
      <alignment horizontal="left" vertical="top"/>
    </xf>
    <xf numFmtId="0" fontId="10" fillId="0" borderId="0" xfId="0" applyFont="1" applyAlignment="1">
      <alignment horizontal="right" vertical="center"/>
    </xf>
    <xf numFmtId="170" fontId="19" fillId="3" borderId="0" xfId="0" applyNumberFormat="1" applyFont="1" applyFill="1" applyAlignment="1">
      <alignment horizontal="center"/>
    </xf>
    <xf numFmtId="0" fontId="21" fillId="3" borderId="0" xfId="0" applyFont="1" applyFill="1" applyAlignment="1">
      <alignment horizontal="center" vertical="top"/>
    </xf>
    <xf numFmtId="164" fontId="19" fillId="3" borderId="0" xfId="0" applyNumberFormat="1" applyFont="1" applyFill="1" applyAlignment="1">
      <alignment horizontal="center"/>
    </xf>
    <xf numFmtId="9" fontId="21" fillId="3" borderId="0" xfId="0" applyNumberFormat="1" applyFont="1" applyFill="1" applyAlignment="1">
      <alignment horizontal="center" vertical="top"/>
    </xf>
    <xf numFmtId="169" fontId="36" fillId="0" borderId="9" xfId="0" applyNumberFormat="1" applyFont="1" applyBorder="1" applyAlignment="1">
      <alignment vertical="center"/>
    </xf>
    <xf numFmtId="0" fontId="37" fillId="0" borderId="10" xfId="0" applyFont="1" applyBorder="1"/>
    <xf numFmtId="169" fontId="36" fillId="0" borderId="11" xfId="0" applyNumberFormat="1" applyFont="1" applyBorder="1" applyAlignment="1">
      <alignment vertical="center"/>
    </xf>
    <xf numFmtId="0" fontId="37" fillId="0" borderId="12" xfId="0" applyFont="1" applyBorder="1"/>
    <xf numFmtId="0" fontId="23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3" fillId="5" borderId="0" xfId="0" applyFont="1" applyFill="1" applyAlignment="1">
      <alignment horizontal="left" vertical="center"/>
    </xf>
    <xf numFmtId="0" fontId="5" fillId="3" borderId="0" xfId="0" applyFont="1" applyFill="1"/>
    <xf numFmtId="0" fontId="30" fillId="0" borderId="0" xfId="0" applyFont="1" applyAlignment="1">
      <alignment horizontal="left" vertical="top"/>
    </xf>
    <xf numFmtId="169" fontId="36" fillId="0" borderId="7" xfId="0" applyNumberFormat="1" applyFont="1" applyBorder="1" applyAlignment="1">
      <alignment vertical="center"/>
    </xf>
    <xf numFmtId="0" fontId="37" fillId="0" borderId="8" xfId="0" applyFont="1" applyBorder="1"/>
    <xf numFmtId="0" fontId="39" fillId="0" borderId="11" xfId="0" applyFont="1" applyBorder="1"/>
  </cellXfs>
  <cellStyles count="1">
    <cellStyle name="Normal" xfId="0" builtinId="0"/>
  </cellStyles>
  <dxfs count="24">
    <dxf>
      <font>
        <color rgb="FF687887"/>
      </font>
      <fill>
        <patternFill patternType="none"/>
      </fill>
    </dxf>
    <dxf>
      <font>
        <color rgb="FFC53929"/>
      </font>
      <fill>
        <patternFill patternType="none"/>
      </fill>
    </dxf>
    <dxf>
      <fill>
        <patternFill patternType="solid">
          <fgColor rgb="FFFCECE6"/>
          <bgColor rgb="FFFCECE6"/>
        </patternFill>
      </fill>
    </dxf>
    <dxf>
      <fill>
        <patternFill patternType="solid">
          <fgColor rgb="FFFCECE6"/>
          <bgColor rgb="FFFCECE6"/>
        </patternFill>
      </fill>
    </dxf>
    <dxf>
      <fill>
        <patternFill patternType="solid">
          <fgColor rgb="FFFCECE6"/>
          <bgColor rgb="FFFCECE6"/>
        </patternFill>
      </fill>
    </dxf>
    <dxf>
      <font>
        <color rgb="FF687887"/>
      </font>
      <fill>
        <patternFill patternType="none"/>
      </fill>
    </dxf>
    <dxf>
      <font>
        <color rgb="FFC53929"/>
      </font>
      <fill>
        <patternFill patternType="none"/>
      </fill>
    </dxf>
    <dxf>
      <fill>
        <patternFill patternType="solid">
          <fgColor rgb="FFFCECE6"/>
          <bgColor rgb="FFFCECE6"/>
        </patternFill>
      </fill>
    </dxf>
    <dxf>
      <fill>
        <patternFill patternType="solid">
          <fgColor rgb="FFFCECE6"/>
          <bgColor rgb="FFFCECE6"/>
        </patternFill>
      </fill>
    </dxf>
    <dxf>
      <fill>
        <patternFill patternType="solid">
          <fgColor rgb="FFFCECE6"/>
          <bgColor rgb="FFFCECE6"/>
        </patternFill>
      </fill>
    </dxf>
    <dxf>
      <font>
        <color rgb="FF687887"/>
      </font>
      <fill>
        <patternFill patternType="none"/>
      </fill>
    </dxf>
    <dxf>
      <font>
        <color rgb="FFC53929"/>
      </font>
      <fill>
        <patternFill patternType="none"/>
      </fill>
    </dxf>
    <dxf>
      <fill>
        <patternFill patternType="solid">
          <fgColor rgb="FFFCECE6"/>
          <bgColor rgb="FFFCECE6"/>
        </patternFill>
      </fill>
    </dxf>
    <dxf>
      <fill>
        <patternFill patternType="solid">
          <fgColor rgb="FFFCECE6"/>
          <bgColor rgb="FFFCECE6"/>
        </patternFill>
      </fill>
    </dxf>
    <dxf>
      <fill>
        <patternFill patternType="solid">
          <fgColor rgb="FFFCECE6"/>
          <bgColor rgb="FFFCECE6"/>
        </patternFill>
      </fill>
    </dxf>
    <dxf>
      <font>
        <color rgb="FF687887"/>
      </font>
      <fill>
        <patternFill patternType="none"/>
      </fill>
    </dxf>
    <dxf>
      <font>
        <color rgb="FFC53929"/>
      </font>
      <fill>
        <patternFill patternType="none"/>
      </fill>
    </dxf>
    <dxf>
      <fill>
        <patternFill patternType="solid">
          <fgColor rgb="FFFCECE6"/>
          <bgColor rgb="FFFCECE6"/>
        </patternFill>
      </fill>
    </dxf>
    <dxf>
      <fill>
        <patternFill patternType="solid">
          <fgColor rgb="FFFCECE6"/>
          <bgColor rgb="FFFCECE6"/>
        </patternFill>
      </fill>
    </dxf>
    <dxf>
      <fill>
        <patternFill patternType="solid">
          <fgColor rgb="FFFCECE6"/>
          <bgColor rgb="FFFCECE6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1">
    <tableStyle name="Jun 26 - Review-style" pivot="0" count="4" xr9:uid="{00000000-0011-0000-FFFF-FFFF00000000}">
      <tableStyleElement type="wholeTable" size="0" dxfId="20"/>
      <tableStyleElement type="headerRow" dxfId="23"/>
      <tableStyleElement type="firstRowStripe" dxfId="22"/>
      <tableStyleElement type="secondRowStrip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  <a:r>
              <a:rPr lang="en-IN" b="0">
                <a:solidFill>
                  <a:srgbClr val="000000"/>
                </a:solidFill>
                <a:latin typeface="Tahoma"/>
              </a:rPr>
              <a:t>Expense spread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DD3C-4A06-BEDB-7BB60851CCC7}"/>
              </c:ext>
            </c:extLst>
          </c:dPt>
          <c:dPt>
            <c:idx val="1"/>
            <c:bubble3D val="0"/>
            <c:spPr>
              <a:solidFill>
                <a:srgbClr val="DB4437"/>
              </a:solidFill>
            </c:spPr>
            <c:extLst>
              <c:ext xmlns:c16="http://schemas.microsoft.com/office/drawing/2014/chart" uri="{C3380CC4-5D6E-409C-BE32-E72D297353CC}">
                <c16:uniqueId val="{00000003-DD3C-4A06-BEDB-7BB60851CCC7}"/>
              </c:ext>
            </c:extLst>
          </c:dPt>
          <c:dPt>
            <c:idx val="2"/>
            <c:bubble3D val="0"/>
            <c:spPr>
              <a:solidFill>
                <a:srgbClr val="F4B400"/>
              </a:solidFill>
            </c:spPr>
            <c:extLst>
              <c:ext xmlns:c16="http://schemas.microsoft.com/office/drawing/2014/chart" uri="{C3380CC4-5D6E-409C-BE32-E72D297353CC}">
                <c16:uniqueId val="{00000005-DD3C-4A06-BEDB-7BB60851CCC7}"/>
              </c:ext>
            </c:extLst>
          </c:dPt>
          <c:dPt>
            <c:idx val="3"/>
            <c:bubble3D val="0"/>
            <c:spPr>
              <a:solidFill>
                <a:srgbClr val="0F9D58"/>
              </a:solidFill>
            </c:spPr>
            <c:extLst>
              <c:ext xmlns:c16="http://schemas.microsoft.com/office/drawing/2014/chart" uri="{C3380CC4-5D6E-409C-BE32-E72D297353CC}">
                <c16:uniqueId val="{00000007-DD3C-4A06-BEDB-7BB60851CCC7}"/>
              </c:ext>
            </c:extLst>
          </c:dPt>
          <c:dPt>
            <c:idx val="4"/>
            <c:bubble3D val="0"/>
            <c:spPr>
              <a:solidFill>
                <a:srgbClr val="3C78D8"/>
              </a:solidFill>
            </c:spPr>
            <c:extLst>
              <c:ext xmlns:c16="http://schemas.microsoft.com/office/drawing/2014/chart" uri="{C3380CC4-5D6E-409C-BE32-E72D297353CC}">
                <c16:uniqueId val="{00000009-DD3C-4A06-BEDB-7BB60851CCC7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DD3C-4A06-BEDB-7BB60851CCC7}"/>
              </c:ext>
            </c:extLst>
          </c:dPt>
          <c:dPt>
            <c:idx val="6"/>
            <c:bubble3D val="0"/>
            <c:spPr>
              <a:solidFill>
                <a:srgbClr val="AB30C4"/>
              </a:solidFill>
            </c:spPr>
            <c:extLst>
              <c:ext xmlns:c16="http://schemas.microsoft.com/office/drawing/2014/chart" uri="{C3380CC4-5D6E-409C-BE32-E72D297353CC}">
                <c16:uniqueId val="{0000000D-DD3C-4A06-BEDB-7BB60851CCC7}"/>
              </c:ext>
            </c:extLst>
          </c:dPt>
          <c:dPt>
            <c:idx val="7"/>
            <c:bubble3D val="0"/>
            <c:spPr>
              <a:solidFill>
                <a:srgbClr val="C1BC1F"/>
              </a:solidFill>
            </c:spPr>
            <c:extLst>
              <c:ext xmlns:c16="http://schemas.microsoft.com/office/drawing/2014/chart" uri="{C3380CC4-5D6E-409C-BE32-E72D297353CC}">
                <c16:uniqueId val="{0000000F-DD3C-4A06-BEDB-7BB60851CCC7}"/>
              </c:ext>
            </c:extLst>
          </c:dPt>
          <c:dPt>
            <c:idx val="8"/>
            <c:bubble3D val="0"/>
            <c:spPr>
              <a:solidFill>
                <a:srgbClr val="3949AB"/>
              </a:solidFill>
            </c:spPr>
            <c:extLst>
              <c:ext xmlns:c16="http://schemas.microsoft.com/office/drawing/2014/chart" uri="{C3380CC4-5D6E-409C-BE32-E72D297353CC}">
                <c16:uniqueId val="{00000011-DD3C-4A06-BEDB-7BB60851CCC7}"/>
              </c:ext>
            </c:extLst>
          </c:dPt>
          <c:dPt>
            <c:idx val="9"/>
            <c:bubble3D val="0"/>
            <c:spPr>
              <a:solidFill>
                <a:srgbClr val="F975A8"/>
              </a:solidFill>
            </c:spPr>
            <c:extLst>
              <c:ext xmlns:c16="http://schemas.microsoft.com/office/drawing/2014/chart" uri="{C3380CC4-5D6E-409C-BE32-E72D297353CC}">
                <c16:uniqueId val="{00000013-DD3C-4A06-BEDB-7BB60851CCC7}"/>
              </c:ext>
            </c:extLst>
          </c:dPt>
          <c:dPt>
            <c:idx val="10"/>
            <c:bubble3D val="0"/>
            <c:spPr>
              <a:solidFill>
                <a:srgbClr val="00695C"/>
              </a:solidFill>
            </c:spPr>
            <c:extLst>
              <c:ext xmlns:c16="http://schemas.microsoft.com/office/drawing/2014/chart" uri="{C3380CC4-5D6E-409C-BE32-E72D297353CC}">
                <c16:uniqueId val="{00000015-DD3C-4A06-BEDB-7BB60851CCC7}"/>
              </c:ext>
            </c:extLst>
          </c:dPt>
          <c:dPt>
            <c:idx val="11"/>
            <c:bubble3D val="0"/>
            <c:spPr>
              <a:solidFill>
                <a:srgbClr val="C2185B"/>
              </a:solidFill>
            </c:spPr>
            <c:extLst>
              <c:ext xmlns:c16="http://schemas.microsoft.com/office/drawing/2014/chart" uri="{C3380CC4-5D6E-409C-BE32-E72D297353CC}">
                <c16:uniqueId val="{00000017-DD3C-4A06-BEDB-7BB60851CCC7}"/>
              </c:ext>
            </c:extLst>
          </c:dPt>
          <c:dPt>
            <c:idx val="12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19-DD3C-4A06-BEDB-7BB60851CCC7}"/>
              </c:ext>
            </c:extLst>
          </c:dPt>
          <c:dPt>
            <c:idx val="13"/>
            <c:bubble3D val="0"/>
            <c:spPr>
              <a:solidFill>
                <a:srgbClr val="DB4437"/>
              </a:solidFill>
            </c:spPr>
            <c:extLst>
              <c:ext xmlns:c16="http://schemas.microsoft.com/office/drawing/2014/chart" uri="{C3380CC4-5D6E-409C-BE32-E72D297353CC}">
                <c16:uniqueId val="{0000001B-DD3C-4A06-BEDB-7BB60851CCC7}"/>
              </c:ext>
            </c:extLst>
          </c:dPt>
          <c:dPt>
            <c:idx val="14"/>
            <c:bubble3D val="0"/>
            <c:spPr>
              <a:solidFill>
                <a:srgbClr val="F4B400"/>
              </a:solidFill>
            </c:spPr>
            <c:extLst>
              <c:ext xmlns:c16="http://schemas.microsoft.com/office/drawing/2014/chart" uri="{C3380CC4-5D6E-409C-BE32-E72D297353CC}">
                <c16:uniqueId val="{0000001D-DD3C-4A06-BEDB-7BB60851CCC7}"/>
              </c:ext>
            </c:extLst>
          </c:dPt>
          <c:dPt>
            <c:idx val="15"/>
            <c:bubble3D val="0"/>
            <c:spPr>
              <a:solidFill>
                <a:srgbClr val="0F9D58"/>
              </a:solidFill>
            </c:spPr>
            <c:extLst>
              <c:ext xmlns:c16="http://schemas.microsoft.com/office/drawing/2014/chart" uri="{C3380CC4-5D6E-409C-BE32-E72D297353CC}">
                <c16:uniqueId val="{0000001F-DD3C-4A06-BEDB-7BB60851CCC7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'07-26'!$M$28:$M$43</c:f>
              <c:strCache>
                <c:ptCount val="16"/>
                <c:pt idx="0">
                  <c:v>Food</c:v>
                </c:pt>
                <c:pt idx="1">
                  <c:v>Gifts</c:v>
                </c:pt>
                <c:pt idx="2">
                  <c:v>Health/medical</c:v>
                </c:pt>
                <c:pt idx="3">
                  <c:v>Home</c:v>
                </c:pt>
                <c:pt idx="4">
                  <c:v>Transportation</c:v>
                </c:pt>
                <c:pt idx="5">
                  <c:v>Personal</c:v>
                </c:pt>
                <c:pt idx="6">
                  <c:v>Groceries</c:v>
                </c:pt>
                <c:pt idx="7">
                  <c:v>Utilities</c:v>
                </c:pt>
                <c:pt idx="8">
                  <c:v>Travel</c:v>
                </c:pt>
                <c:pt idx="9">
                  <c:v>Child expenses</c:v>
                </c:pt>
                <c:pt idx="10">
                  <c:v>EMI</c:v>
                </c:pt>
                <c:pt idx="11">
                  <c:v>Entertainment</c:v>
                </c:pt>
                <c:pt idx="12">
                  <c:v>Savings-Mandatory</c:v>
                </c:pt>
                <c:pt idx="13">
                  <c:v>Savings-Optional</c:v>
                </c:pt>
                <c:pt idx="14">
                  <c:v>Experiences </c:v>
                </c:pt>
                <c:pt idx="15">
                  <c:v>Insurance</c:v>
                </c:pt>
              </c:strCache>
            </c:strRef>
          </c:cat>
          <c:val>
            <c:numRef>
              <c:f>'07-26'!$O$28:$O$43</c:f>
              <c:numCache>
                <c:formatCode>[$₹]#,##0.00</c:formatCode>
                <c:ptCount val="16"/>
                <c:pt idx="0">
                  <c:v>4570</c:v>
                </c:pt>
                <c:pt idx="1">
                  <c:v>0</c:v>
                </c:pt>
                <c:pt idx="2">
                  <c:v>0</c:v>
                </c:pt>
                <c:pt idx="3">
                  <c:v>8839</c:v>
                </c:pt>
                <c:pt idx="4">
                  <c:v>2070</c:v>
                </c:pt>
                <c:pt idx="5">
                  <c:v>12565</c:v>
                </c:pt>
                <c:pt idx="6">
                  <c:v>5455</c:v>
                </c:pt>
                <c:pt idx="7">
                  <c:v>6531</c:v>
                </c:pt>
                <c:pt idx="8">
                  <c:v>2543</c:v>
                </c:pt>
                <c:pt idx="9">
                  <c:v>0</c:v>
                </c:pt>
                <c:pt idx="10">
                  <c:v>22811</c:v>
                </c:pt>
                <c:pt idx="11">
                  <c:v>279</c:v>
                </c:pt>
                <c:pt idx="12">
                  <c:v>60971</c:v>
                </c:pt>
                <c:pt idx="13">
                  <c:v>189000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D3C-4A06-BEDB-7BB60851C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1" i="1">
              <a:solidFill>
                <a:srgbClr val="000000"/>
              </a:solidFill>
              <a:latin typeface="Tahoma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3F3F3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  <a:r>
              <a:rPr lang="en-IN" b="0">
                <a:solidFill>
                  <a:srgbClr val="000000"/>
                </a:solidFill>
                <a:latin typeface="Tahoma"/>
              </a:rPr>
              <a:t>Expense spread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83F3-48AC-9E6E-F3434F198ABC}"/>
              </c:ext>
            </c:extLst>
          </c:dPt>
          <c:dPt>
            <c:idx val="1"/>
            <c:bubble3D val="0"/>
            <c:spPr>
              <a:solidFill>
                <a:srgbClr val="DB4437"/>
              </a:solidFill>
            </c:spPr>
            <c:extLst>
              <c:ext xmlns:c16="http://schemas.microsoft.com/office/drawing/2014/chart" uri="{C3380CC4-5D6E-409C-BE32-E72D297353CC}">
                <c16:uniqueId val="{00000003-83F3-48AC-9E6E-F3434F198ABC}"/>
              </c:ext>
            </c:extLst>
          </c:dPt>
          <c:dPt>
            <c:idx val="2"/>
            <c:bubble3D val="0"/>
            <c:spPr>
              <a:solidFill>
                <a:srgbClr val="F4B400"/>
              </a:solidFill>
            </c:spPr>
            <c:extLst>
              <c:ext xmlns:c16="http://schemas.microsoft.com/office/drawing/2014/chart" uri="{C3380CC4-5D6E-409C-BE32-E72D297353CC}">
                <c16:uniqueId val="{00000005-83F3-48AC-9E6E-F3434F198ABC}"/>
              </c:ext>
            </c:extLst>
          </c:dPt>
          <c:dPt>
            <c:idx val="3"/>
            <c:bubble3D val="0"/>
            <c:spPr>
              <a:solidFill>
                <a:srgbClr val="0F9D58"/>
              </a:solidFill>
            </c:spPr>
            <c:extLst>
              <c:ext xmlns:c16="http://schemas.microsoft.com/office/drawing/2014/chart" uri="{C3380CC4-5D6E-409C-BE32-E72D297353CC}">
                <c16:uniqueId val="{00000007-83F3-48AC-9E6E-F3434F198ABC}"/>
              </c:ext>
            </c:extLst>
          </c:dPt>
          <c:dPt>
            <c:idx val="4"/>
            <c:bubble3D val="0"/>
            <c:spPr>
              <a:solidFill>
                <a:srgbClr val="3C78D8"/>
              </a:solidFill>
            </c:spPr>
            <c:extLst>
              <c:ext xmlns:c16="http://schemas.microsoft.com/office/drawing/2014/chart" uri="{C3380CC4-5D6E-409C-BE32-E72D297353CC}">
                <c16:uniqueId val="{00000009-83F3-48AC-9E6E-F3434F198ABC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83F3-48AC-9E6E-F3434F198ABC}"/>
              </c:ext>
            </c:extLst>
          </c:dPt>
          <c:dPt>
            <c:idx val="6"/>
            <c:bubble3D val="0"/>
            <c:spPr>
              <a:solidFill>
                <a:srgbClr val="AB30C4"/>
              </a:solidFill>
            </c:spPr>
            <c:extLst>
              <c:ext xmlns:c16="http://schemas.microsoft.com/office/drawing/2014/chart" uri="{C3380CC4-5D6E-409C-BE32-E72D297353CC}">
                <c16:uniqueId val="{0000000D-83F3-48AC-9E6E-F3434F198ABC}"/>
              </c:ext>
            </c:extLst>
          </c:dPt>
          <c:dPt>
            <c:idx val="7"/>
            <c:bubble3D val="0"/>
            <c:spPr>
              <a:solidFill>
                <a:srgbClr val="C1BC1F"/>
              </a:solidFill>
            </c:spPr>
            <c:extLst>
              <c:ext xmlns:c16="http://schemas.microsoft.com/office/drawing/2014/chart" uri="{C3380CC4-5D6E-409C-BE32-E72D297353CC}">
                <c16:uniqueId val="{0000000F-83F3-48AC-9E6E-F3434F198ABC}"/>
              </c:ext>
            </c:extLst>
          </c:dPt>
          <c:dPt>
            <c:idx val="8"/>
            <c:bubble3D val="0"/>
            <c:spPr>
              <a:solidFill>
                <a:srgbClr val="3949AB"/>
              </a:solidFill>
            </c:spPr>
            <c:extLst>
              <c:ext xmlns:c16="http://schemas.microsoft.com/office/drawing/2014/chart" uri="{C3380CC4-5D6E-409C-BE32-E72D297353CC}">
                <c16:uniqueId val="{00000011-83F3-48AC-9E6E-F3434F198ABC}"/>
              </c:ext>
            </c:extLst>
          </c:dPt>
          <c:dPt>
            <c:idx val="9"/>
            <c:bubble3D val="0"/>
            <c:spPr>
              <a:solidFill>
                <a:srgbClr val="F975A8"/>
              </a:solidFill>
            </c:spPr>
            <c:extLst>
              <c:ext xmlns:c16="http://schemas.microsoft.com/office/drawing/2014/chart" uri="{C3380CC4-5D6E-409C-BE32-E72D297353CC}">
                <c16:uniqueId val="{00000013-83F3-48AC-9E6E-F3434F198ABC}"/>
              </c:ext>
            </c:extLst>
          </c:dPt>
          <c:dPt>
            <c:idx val="10"/>
            <c:bubble3D val="0"/>
            <c:spPr>
              <a:solidFill>
                <a:srgbClr val="00695C"/>
              </a:solidFill>
            </c:spPr>
            <c:extLst>
              <c:ext xmlns:c16="http://schemas.microsoft.com/office/drawing/2014/chart" uri="{C3380CC4-5D6E-409C-BE32-E72D297353CC}">
                <c16:uniqueId val="{00000015-83F3-48AC-9E6E-F3434F198ABC}"/>
              </c:ext>
            </c:extLst>
          </c:dPt>
          <c:dPt>
            <c:idx val="11"/>
            <c:bubble3D val="0"/>
            <c:spPr>
              <a:solidFill>
                <a:srgbClr val="C2185B"/>
              </a:solidFill>
            </c:spPr>
            <c:extLst>
              <c:ext xmlns:c16="http://schemas.microsoft.com/office/drawing/2014/chart" uri="{C3380CC4-5D6E-409C-BE32-E72D297353CC}">
                <c16:uniqueId val="{00000017-83F3-48AC-9E6E-F3434F198ABC}"/>
              </c:ext>
            </c:extLst>
          </c:dPt>
          <c:dPt>
            <c:idx val="12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19-83F3-48AC-9E6E-F3434F198ABC}"/>
              </c:ext>
            </c:extLst>
          </c:dPt>
          <c:dPt>
            <c:idx val="13"/>
            <c:bubble3D val="0"/>
            <c:spPr>
              <a:solidFill>
                <a:srgbClr val="DB4437"/>
              </a:solidFill>
            </c:spPr>
            <c:extLst>
              <c:ext xmlns:c16="http://schemas.microsoft.com/office/drawing/2014/chart" uri="{C3380CC4-5D6E-409C-BE32-E72D297353CC}">
                <c16:uniqueId val="{0000001B-83F3-48AC-9E6E-F3434F198ABC}"/>
              </c:ext>
            </c:extLst>
          </c:dPt>
          <c:dPt>
            <c:idx val="14"/>
            <c:bubble3D val="0"/>
            <c:spPr>
              <a:solidFill>
                <a:srgbClr val="F4B400"/>
              </a:solidFill>
            </c:spPr>
            <c:extLst>
              <c:ext xmlns:c16="http://schemas.microsoft.com/office/drawing/2014/chart" uri="{C3380CC4-5D6E-409C-BE32-E72D297353CC}">
                <c16:uniqueId val="{0000001D-83F3-48AC-9E6E-F3434F198ABC}"/>
              </c:ext>
            </c:extLst>
          </c:dPt>
          <c:dPt>
            <c:idx val="15"/>
            <c:bubble3D val="0"/>
            <c:spPr>
              <a:solidFill>
                <a:srgbClr val="0F9D58"/>
              </a:solidFill>
            </c:spPr>
            <c:extLst>
              <c:ext xmlns:c16="http://schemas.microsoft.com/office/drawing/2014/chart" uri="{C3380CC4-5D6E-409C-BE32-E72D297353CC}">
                <c16:uniqueId val="{0000001F-83F3-48AC-9E6E-F3434F198ABC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'06-26'!$M$28:$M$43</c:f>
              <c:strCache>
                <c:ptCount val="16"/>
                <c:pt idx="0">
                  <c:v>Food</c:v>
                </c:pt>
                <c:pt idx="1">
                  <c:v>Gifts</c:v>
                </c:pt>
                <c:pt idx="2">
                  <c:v>Health/medical</c:v>
                </c:pt>
                <c:pt idx="3">
                  <c:v>Home</c:v>
                </c:pt>
                <c:pt idx="4">
                  <c:v>Transportation</c:v>
                </c:pt>
                <c:pt idx="5">
                  <c:v>Personal</c:v>
                </c:pt>
                <c:pt idx="6">
                  <c:v>Groceries</c:v>
                </c:pt>
                <c:pt idx="7">
                  <c:v>Utilities</c:v>
                </c:pt>
                <c:pt idx="8">
                  <c:v>Travel</c:v>
                </c:pt>
                <c:pt idx="9">
                  <c:v>Child expenses</c:v>
                </c:pt>
                <c:pt idx="10">
                  <c:v>EMI</c:v>
                </c:pt>
                <c:pt idx="11">
                  <c:v>Entertainment</c:v>
                </c:pt>
                <c:pt idx="12">
                  <c:v>Savings-Mandatory</c:v>
                </c:pt>
                <c:pt idx="13">
                  <c:v>Savings-Optional</c:v>
                </c:pt>
                <c:pt idx="14">
                  <c:v>Experiences </c:v>
                </c:pt>
                <c:pt idx="15">
                  <c:v>Insurance</c:v>
                </c:pt>
              </c:strCache>
            </c:strRef>
          </c:cat>
          <c:val>
            <c:numRef>
              <c:f>'06-26'!$O$28:$O$43</c:f>
              <c:numCache>
                <c:formatCode>[$₹]#,##0.00</c:formatCode>
                <c:ptCount val="16"/>
                <c:pt idx="0">
                  <c:v>3607</c:v>
                </c:pt>
                <c:pt idx="1">
                  <c:v>0</c:v>
                </c:pt>
                <c:pt idx="2">
                  <c:v>939</c:v>
                </c:pt>
                <c:pt idx="3">
                  <c:v>2567</c:v>
                </c:pt>
                <c:pt idx="4">
                  <c:v>0</c:v>
                </c:pt>
                <c:pt idx="5">
                  <c:v>4069</c:v>
                </c:pt>
                <c:pt idx="6">
                  <c:v>9140</c:v>
                </c:pt>
                <c:pt idx="7">
                  <c:v>23196</c:v>
                </c:pt>
                <c:pt idx="8">
                  <c:v>7859</c:v>
                </c:pt>
                <c:pt idx="9">
                  <c:v>21514</c:v>
                </c:pt>
                <c:pt idx="10">
                  <c:v>23283</c:v>
                </c:pt>
                <c:pt idx="11">
                  <c:v>279</c:v>
                </c:pt>
                <c:pt idx="12">
                  <c:v>26000</c:v>
                </c:pt>
                <c:pt idx="13">
                  <c:v>265000</c:v>
                </c:pt>
                <c:pt idx="14">
                  <c:v>0</c:v>
                </c:pt>
                <c:pt idx="15">
                  <c:v>20261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83F3-48AC-9E6E-F3434F198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1" i="1">
              <a:solidFill>
                <a:srgbClr val="000000"/>
              </a:solidFill>
              <a:latin typeface="Tahoma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3F3F3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  <a:r>
              <a:rPr lang="en-IN" b="0">
                <a:solidFill>
                  <a:srgbClr val="000000"/>
                </a:solidFill>
                <a:latin typeface="Tahoma"/>
              </a:rPr>
              <a:t>Expense spread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4868-4825-9096-38ACCD82ACF6}"/>
              </c:ext>
            </c:extLst>
          </c:dPt>
          <c:dPt>
            <c:idx val="1"/>
            <c:bubble3D val="0"/>
            <c:spPr>
              <a:solidFill>
                <a:srgbClr val="DB4437"/>
              </a:solidFill>
            </c:spPr>
            <c:extLst>
              <c:ext xmlns:c16="http://schemas.microsoft.com/office/drawing/2014/chart" uri="{C3380CC4-5D6E-409C-BE32-E72D297353CC}">
                <c16:uniqueId val="{00000003-4868-4825-9096-38ACCD82ACF6}"/>
              </c:ext>
            </c:extLst>
          </c:dPt>
          <c:dPt>
            <c:idx val="2"/>
            <c:bubble3D val="0"/>
            <c:spPr>
              <a:solidFill>
                <a:srgbClr val="F4B400"/>
              </a:solidFill>
            </c:spPr>
            <c:extLst>
              <c:ext xmlns:c16="http://schemas.microsoft.com/office/drawing/2014/chart" uri="{C3380CC4-5D6E-409C-BE32-E72D297353CC}">
                <c16:uniqueId val="{00000005-4868-4825-9096-38ACCD82ACF6}"/>
              </c:ext>
            </c:extLst>
          </c:dPt>
          <c:dPt>
            <c:idx val="3"/>
            <c:bubble3D val="0"/>
            <c:spPr>
              <a:solidFill>
                <a:srgbClr val="0F9D58"/>
              </a:solidFill>
            </c:spPr>
            <c:extLst>
              <c:ext xmlns:c16="http://schemas.microsoft.com/office/drawing/2014/chart" uri="{C3380CC4-5D6E-409C-BE32-E72D297353CC}">
                <c16:uniqueId val="{00000007-4868-4825-9096-38ACCD82ACF6}"/>
              </c:ext>
            </c:extLst>
          </c:dPt>
          <c:dPt>
            <c:idx val="4"/>
            <c:bubble3D val="0"/>
            <c:spPr>
              <a:solidFill>
                <a:srgbClr val="3C78D8"/>
              </a:solidFill>
            </c:spPr>
            <c:extLst>
              <c:ext xmlns:c16="http://schemas.microsoft.com/office/drawing/2014/chart" uri="{C3380CC4-5D6E-409C-BE32-E72D297353CC}">
                <c16:uniqueId val="{00000009-4868-4825-9096-38ACCD82ACF6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4868-4825-9096-38ACCD82ACF6}"/>
              </c:ext>
            </c:extLst>
          </c:dPt>
          <c:dPt>
            <c:idx val="6"/>
            <c:bubble3D val="0"/>
            <c:spPr>
              <a:solidFill>
                <a:srgbClr val="AB30C4"/>
              </a:solidFill>
            </c:spPr>
            <c:extLst>
              <c:ext xmlns:c16="http://schemas.microsoft.com/office/drawing/2014/chart" uri="{C3380CC4-5D6E-409C-BE32-E72D297353CC}">
                <c16:uniqueId val="{0000000D-4868-4825-9096-38ACCD82ACF6}"/>
              </c:ext>
            </c:extLst>
          </c:dPt>
          <c:dPt>
            <c:idx val="7"/>
            <c:bubble3D val="0"/>
            <c:spPr>
              <a:solidFill>
                <a:srgbClr val="C1BC1F"/>
              </a:solidFill>
            </c:spPr>
            <c:extLst>
              <c:ext xmlns:c16="http://schemas.microsoft.com/office/drawing/2014/chart" uri="{C3380CC4-5D6E-409C-BE32-E72D297353CC}">
                <c16:uniqueId val="{0000000F-4868-4825-9096-38ACCD82ACF6}"/>
              </c:ext>
            </c:extLst>
          </c:dPt>
          <c:dPt>
            <c:idx val="8"/>
            <c:bubble3D val="0"/>
            <c:spPr>
              <a:solidFill>
                <a:srgbClr val="3949AB"/>
              </a:solidFill>
            </c:spPr>
            <c:extLst>
              <c:ext xmlns:c16="http://schemas.microsoft.com/office/drawing/2014/chart" uri="{C3380CC4-5D6E-409C-BE32-E72D297353CC}">
                <c16:uniqueId val="{00000011-4868-4825-9096-38ACCD82ACF6}"/>
              </c:ext>
            </c:extLst>
          </c:dPt>
          <c:dPt>
            <c:idx val="9"/>
            <c:bubble3D val="0"/>
            <c:spPr>
              <a:solidFill>
                <a:srgbClr val="F975A8"/>
              </a:solidFill>
            </c:spPr>
            <c:extLst>
              <c:ext xmlns:c16="http://schemas.microsoft.com/office/drawing/2014/chart" uri="{C3380CC4-5D6E-409C-BE32-E72D297353CC}">
                <c16:uniqueId val="{00000013-4868-4825-9096-38ACCD82ACF6}"/>
              </c:ext>
            </c:extLst>
          </c:dPt>
          <c:dPt>
            <c:idx val="10"/>
            <c:bubble3D val="0"/>
            <c:spPr>
              <a:solidFill>
                <a:srgbClr val="00695C"/>
              </a:solidFill>
            </c:spPr>
            <c:extLst>
              <c:ext xmlns:c16="http://schemas.microsoft.com/office/drawing/2014/chart" uri="{C3380CC4-5D6E-409C-BE32-E72D297353CC}">
                <c16:uniqueId val="{00000015-4868-4825-9096-38ACCD82ACF6}"/>
              </c:ext>
            </c:extLst>
          </c:dPt>
          <c:dPt>
            <c:idx val="11"/>
            <c:bubble3D val="0"/>
            <c:spPr>
              <a:solidFill>
                <a:srgbClr val="C2185B"/>
              </a:solidFill>
            </c:spPr>
            <c:extLst>
              <c:ext xmlns:c16="http://schemas.microsoft.com/office/drawing/2014/chart" uri="{C3380CC4-5D6E-409C-BE32-E72D297353CC}">
                <c16:uniqueId val="{00000017-4868-4825-9096-38ACCD82ACF6}"/>
              </c:ext>
            </c:extLst>
          </c:dPt>
          <c:dPt>
            <c:idx val="12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19-4868-4825-9096-38ACCD82ACF6}"/>
              </c:ext>
            </c:extLst>
          </c:dPt>
          <c:dPt>
            <c:idx val="13"/>
            <c:bubble3D val="0"/>
            <c:spPr>
              <a:solidFill>
                <a:srgbClr val="DB4437"/>
              </a:solidFill>
            </c:spPr>
            <c:extLst>
              <c:ext xmlns:c16="http://schemas.microsoft.com/office/drawing/2014/chart" uri="{C3380CC4-5D6E-409C-BE32-E72D297353CC}">
                <c16:uniqueId val="{0000001B-4868-4825-9096-38ACCD82ACF6}"/>
              </c:ext>
            </c:extLst>
          </c:dPt>
          <c:dPt>
            <c:idx val="14"/>
            <c:bubble3D val="0"/>
            <c:spPr>
              <a:solidFill>
                <a:srgbClr val="F4B400"/>
              </a:solidFill>
            </c:spPr>
            <c:extLst>
              <c:ext xmlns:c16="http://schemas.microsoft.com/office/drawing/2014/chart" uri="{C3380CC4-5D6E-409C-BE32-E72D297353CC}">
                <c16:uniqueId val="{0000001D-4868-4825-9096-38ACCD82ACF6}"/>
              </c:ext>
            </c:extLst>
          </c:dPt>
          <c:dPt>
            <c:idx val="15"/>
            <c:bubble3D val="0"/>
            <c:spPr>
              <a:solidFill>
                <a:srgbClr val="0F9D58"/>
              </a:solidFill>
            </c:spPr>
            <c:extLst>
              <c:ext xmlns:c16="http://schemas.microsoft.com/office/drawing/2014/chart" uri="{C3380CC4-5D6E-409C-BE32-E72D297353CC}">
                <c16:uniqueId val="{0000001F-4868-4825-9096-38ACCD82ACF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'05-26'!$M$28:$M$43</c:f>
              <c:strCache>
                <c:ptCount val="16"/>
                <c:pt idx="0">
                  <c:v>Food</c:v>
                </c:pt>
                <c:pt idx="1">
                  <c:v>Gifts</c:v>
                </c:pt>
                <c:pt idx="2">
                  <c:v>Health/medical</c:v>
                </c:pt>
                <c:pt idx="3">
                  <c:v>Home</c:v>
                </c:pt>
                <c:pt idx="4">
                  <c:v>Transportation</c:v>
                </c:pt>
                <c:pt idx="5">
                  <c:v>Personal</c:v>
                </c:pt>
                <c:pt idx="6">
                  <c:v>Groceries</c:v>
                </c:pt>
                <c:pt idx="7">
                  <c:v>Utilities</c:v>
                </c:pt>
                <c:pt idx="8">
                  <c:v>Travel</c:v>
                </c:pt>
                <c:pt idx="9">
                  <c:v>Child expenses</c:v>
                </c:pt>
                <c:pt idx="10">
                  <c:v>EMI</c:v>
                </c:pt>
                <c:pt idx="11">
                  <c:v>Entertainment</c:v>
                </c:pt>
                <c:pt idx="12">
                  <c:v>Savings-Mandatory</c:v>
                </c:pt>
                <c:pt idx="13">
                  <c:v>Savings-Optional</c:v>
                </c:pt>
                <c:pt idx="14">
                  <c:v>Experiences </c:v>
                </c:pt>
                <c:pt idx="15">
                  <c:v>Insurance</c:v>
                </c:pt>
              </c:strCache>
            </c:strRef>
          </c:cat>
          <c:val>
            <c:numRef>
              <c:f>'05-26'!$O$28:$O$43</c:f>
              <c:numCache>
                <c:formatCode>[$₹]#,##0.00</c:formatCode>
                <c:ptCount val="16"/>
                <c:pt idx="0">
                  <c:v>4337</c:v>
                </c:pt>
                <c:pt idx="1">
                  <c:v>0</c:v>
                </c:pt>
                <c:pt idx="2">
                  <c:v>3462</c:v>
                </c:pt>
                <c:pt idx="3">
                  <c:v>2515</c:v>
                </c:pt>
                <c:pt idx="4">
                  <c:v>291</c:v>
                </c:pt>
                <c:pt idx="5">
                  <c:v>5451</c:v>
                </c:pt>
                <c:pt idx="6">
                  <c:v>15308</c:v>
                </c:pt>
                <c:pt idx="7">
                  <c:v>3903</c:v>
                </c:pt>
                <c:pt idx="8">
                  <c:v>0</c:v>
                </c:pt>
                <c:pt idx="9">
                  <c:v>0</c:v>
                </c:pt>
                <c:pt idx="10">
                  <c:v>23283</c:v>
                </c:pt>
                <c:pt idx="11">
                  <c:v>279</c:v>
                </c:pt>
                <c:pt idx="12">
                  <c:v>26000</c:v>
                </c:pt>
                <c:pt idx="13">
                  <c:v>166000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4868-4825-9096-38ACCD82A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1" i="1">
              <a:solidFill>
                <a:srgbClr val="000000"/>
              </a:solidFill>
              <a:latin typeface="Tahoma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3F3F3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  <a:r>
              <a:rPr lang="en-IN" b="0">
                <a:solidFill>
                  <a:srgbClr val="000000"/>
                </a:solidFill>
                <a:latin typeface="Tahoma"/>
              </a:rPr>
              <a:t>Expense spread</a:t>
            </a:r>
          </a:p>
        </c:rich>
      </c:tx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9F3B-4093-B57A-E2941EB2AA33}"/>
              </c:ext>
            </c:extLst>
          </c:dPt>
          <c:dPt>
            <c:idx val="1"/>
            <c:bubble3D val="0"/>
            <c:spPr>
              <a:solidFill>
                <a:srgbClr val="DB4437"/>
              </a:solidFill>
            </c:spPr>
            <c:extLst>
              <c:ext xmlns:c16="http://schemas.microsoft.com/office/drawing/2014/chart" uri="{C3380CC4-5D6E-409C-BE32-E72D297353CC}">
                <c16:uniqueId val="{00000003-9F3B-4093-B57A-E2941EB2AA33}"/>
              </c:ext>
            </c:extLst>
          </c:dPt>
          <c:dPt>
            <c:idx val="2"/>
            <c:bubble3D val="0"/>
            <c:spPr>
              <a:solidFill>
                <a:srgbClr val="F4B400"/>
              </a:solidFill>
            </c:spPr>
            <c:extLst>
              <c:ext xmlns:c16="http://schemas.microsoft.com/office/drawing/2014/chart" uri="{C3380CC4-5D6E-409C-BE32-E72D297353CC}">
                <c16:uniqueId val="{00000005-9F3B-4093-B57A-E2941EB2AA33}"/>
              </c:ext>
            </c:extLst>
          </c:dPt>
          <c:dPt>
            <c:idx val="3"/>
            <c:bubble3D val="0"/>
            <c:spPr>
              <a:solidFill>
                <a:srgbClr val="0F9D58"/>
              </a:solidFill>
            </c:spPr>
            <c:extLst>
              <c:ext xmlns:c16="http://schemas.microsoft.com/office/drawing/2014/chart" uri="{C3380CC4-5D6E-409C-BE32-E72D297353CC}">
                <c16:uniqueId val="{00000007-9F3B-4093-B57A-E2941EB2AA33}"/>
              </c:ext>
            </c:extLst>
          </c:dPt>
          <c:dPt>
            <c:idx val="4"/>
            <c:bubble3D val="0"/>
            <c:spPr>
              <a:solidFill>
                <a:srgbClr val="3C78D8"/>
              </a:solidFill>
            </c:spPr>
            <c:extLst>
              <c:ext xmlns:c16="http://schemas.microsoft.com/office/drawing/2014/chart" uri="{C3380CC4-5D6E-409C-BE32-E72D297353CC}">
                <c16:uniqueId val="{00000009-9F3B-4093-B57A-E2941EB2AA33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9F3B-4093-B57A-E2941EB2AA33}"/>
              </c:ext>
            </c:extLst>
          </c:dPt>
          <c:dPt>
            <c:idx val="6"/>
            <c:bubble3D val="0"/>
            <c:spPr>
              <a:solidFill>
                <a:srgbClr val="AB30C4"/>
              </a:solidFill>
            </c:spPr>
            <c:extLst>
              <c:ext xmlns:c16="http://schemas.microsoft.com/office/drawing/2014/chart" uri="{C3380CC4-5D6E-409C-BE32-E72D297353CC}">
                <c16:uniqueId val="{0000000D-9F3B-4093-B57A-E2941EB2AA33}"/>
              </c:ext>
            </c:extLst>
          </c:dPt>
          <c:dPt>
            <c:idx val="7"/>
            <c:bubble3D val="0"/>
            <c:spPr>
              <a:solidFill>
                <a:srgbClr val="C1BC1F"/>
              </a:solidFill>
            </c:spPr>
            <c:extLst>
              <c:ext xmlns:c16="http://schemas.microsoft.com/office/drawing/2014/chart" uri="{C3380CC4-5D6E-409C-BE32-E72D297353CC}">
                <c16:uniqueId val="{0000000F-9F3B-4093-B57A-E2941EB2AA33}"/>
              </c:ext>
            </c:extLst>
          </c:dPt>
          <c:dPt>
            <c:idx val="8"/>
            <c:bubble3D val="0"/>
            <c:spPr>
              <a:solidFill>
                <a:srgbClr val="3949AB"/>
              </a:solidFill>
            </c:spPr>
            <c:extLst>
              <c:ext xmlns:c16="http://schemas.microsoft.com/office/drawing/2014/chart" uri="{C3380CC4-5D6E-409C-BE32-E72D297353CC}">
                <c16:uniqueId val="{00000011-9F3B-4093-B57A-E2941EB2AA33}"/>
              </c:ext>
            </c:extLst>
          </c:dPt>
          <c:dPt>
            <c:idx val="9"/>
            <c:bubble3D val="0"/>
            <c:spPr>
              <a:solidFill>
                <a:srgbClr val="F975A8"/>
              </a:solidFill>
            </c:spPr>
            <c:extLst>
              <c:ext xmlns:c16="http://schemas.microsoft.com/office/drawing/2014/chart" uri="{C3380CC4-5D6E-409C-BE32-E72D297353CC}">
                <c16:uniqueId val="{00000013-9F3B-4093-B57A-E2941EB2AA33}"/>
              </c:ext>
            </c:extLst>
          </c:dPt>
          <c:dPt>
            <c:idx val="10"/>
            <c:bubble3D val="0"/>
            <c:spPr>
              <a:solidFill>
                <a:srgbClr val="00695C"/>
              </a:solidFill>
            </c:spPr>
            <c:extLst>
              <c:ext xmlns:c16="http://schemas.microsoft.com/office/drawing/2014/chart" uri="{C3380CC4-5D6E-409C-BE32-E72D297353CC}">
                <c16:uniqueId val="{00000015-9F3B-4093-B57A-E2941EB2AA33}"/>
              </c:ext>
            </c:extLst>
          </c:dPt>
          <c:dPt>
            <c:idx val="11"/>
            <c:bubble3D val="0"/>
            <c:spPr>
              <a:solidFill>
                <a:srgbClr val="C2185B"/>
              </a:solidFill>
            </c:spPr>
            <c:extLst>
              <c:ext xmlns:c16="http://schemas.microsoft.com/office/drawing/2014/chart" uri="{C3380CC4-5D6E-409C-BE32-E72D297353CC}">
                <c16:uniqueId val="{00000017-9F3B-4093-B57A-E2941EB2AA33}"/>
              </c:ext>
            </c:extLst>
          </c:dPt>
          <c:dPt>
            <c:idx val="12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19-9F3B-4093-B57A-E2941EB2AA33}"/>
              </c:ext>
            </c:extLst>
          </c:dPt>
          <c:dPt>
            <c:idx val="13"/>
            <c:bubble3D val="0"/>
            <c:spPr>
              <a:solidFill>
                <a:srgbClr val="DB4437"/>
              </a:solidFill>
            </c:spPr>
            <c:extLst>
              <c:ext xmlns:c16="http://schemas.microsoft.com/office/drawing/2014/chart" uri="{C3380CC4-5D6E-409C-BE32-E72D297353CC}">
                <c16:uniqueId val="{0000001B-9F3B-4093-B57A-E2941EB2AA33}"/>
              </c:ext>
            </c:extLst>
          </c:dPt>
          <c:dPt>
            <c:idx val="14"/>
            <c:bubble3D val="0"/>
            <c:spPr>
              <a:solidFill>
                <a:srgbClr val="F4B400"/>
              </a:solidFill>
            </c:spPr>
            <c:extLst>
              <c:ext xmlns:c16="http://schemas.microsoft.com/office/drawing/2014/chart" uri="{C3380CC4-5D6E-409C-BE32-E72D297353CC}">
                <c16:uniqueId val="{0000001D-9F3B-4093-B57A-E2941EB2AA33}"/>
              </c:ext>
            </c:extLst>
          </c:dPt>
          <c:dPt>
            <c:idx val="15"/>
            <c:bubble3D val="0"/>
            <c:spPr>
              <a:solidFill>
                <a:srgbClr val="0F9D58"/>
              </a:solidFill>
            </c:spPr>
            <c:extLst>
              <c:ext xmlns:c16="http://schemas.microsoft.com/office/drawing/2014/chart" uri="{C3380CC4-5D6E-409C-BE32-E72D297353CC}">
                <c16:uniqueId val="{0000001F-9F3B-4093-B57A-E2941EB2AA3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'04-26'!$M$28:$M$43</c:f>
              <c:strCache>
                <c:ptCount val="16"/>
                <c:pt idx="0">
                  <c:v>Food</c:v>
                </c:pt>
                <c:pt idx="1">
                  <c:v>Gifts</c:v>
                </c:pt>
                <c:pt idx="2">
                  <c:v>Health/medical</c:v>
                </c:pt>
                <c:pt idx="3">
                  <c:v>Home</c:v>
                </c:pt>
                <c:pt idx="4">
                  <c:v>Transportation</c:v>
                </c:pt>
                <c:pt idx="5">
                  <c:v>Personal</c:v>
                </c:pt>
                <c:pt idx="6">
                  <c:v>Groceries</c:v>
                </c:pt>
                <c:pt idx="7">
                  <c:v>Utilities</c:v>
                </c:pt>
                <c:pt idx="8">
                  <c:v>Travel</c:v>
                </c:pt>
                <c:pt idx="9">
                  <c:v>Child expenses</c:v>
                </c:pt>
                <c:pt idx="10">
                  <c:v>EMI</c:v>
                </c:pt>
                <c:pt idx="11">
                  <c:v>Entertainment</c:v>
                </c:pt>
                <c:pt idx="12">
                  <c:v>Savings-Mandatory</c:v>
                </c:pt>
                <c:pt idx="13">
                  <c:v>Savings-Optional</c:v>
                </c:pt>
                <c:pt idx="14">
                  <c:v>Experiences </c:v>
                </c:pt>
                <c:pt idx="15">
                  <c:v>Insurance</c:v>
                </c:pt>
              </c:strCache>
            </c:strRef>
          </c:cat>
          <c:val>
            <c:numRef>
              <c:f>'04-26'!$O$28:$O$43</c:f>
              <c:numCache>
                <c:formatCode>[$₹]#,##0.00</c:formatCode>
                <c:ptCount val="16"/>
                <c:pt idx="0">
                  <c:v>5149</c:v>
                </c:pt>
                <c:pt idx="1">
                  <c:v>0</c:v>
                </c:pt>
                <c:pt idx="2">
                  <c:v>0</c:v>
                </c:pt>
                <c:pt idx="3">
                  <c:v>1700</c:v>
                </c:pt>
                <c:pt idx="4">
                  <c:v>2000</c:v>
                </c:pt>
                <c:pt idx="5">
                  <c:v>4883</c:v>
                </c:pt>
                <c:pt idx="6">
                  <c:v>8797</c:v>
                </c:pt>
                <c:pt idx="7">
                  <c:v>21964</c:v>
                </c:pt>
                <c:pt idx="8">
                  <c:v>2750</c:v>
                </c:pt>
                <c:pt idx="9">
                  <c:v>6320</c:v>
                </c:pt>
                <c:pt idx="10">
                  <c:v>23283</c:v>
                </c:pt>
                <c:pt idx="11">
                  <c:v>896</c:v>
                </c:pt>
                <c:pt idx="12">
                  <c:v>26000</c:v>
                </c:pt>
                <c:pt idx="13">
                  <c:v>150000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F3B-4093-B57A-E2941EB2A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1" i="1">
              <a:solidFill>
                <a:srgbClr val="000000"/>
              </a:solidFill>
              <a:latin typeface="Tahoma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3F3F3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Roboto"/>
              </a:defRPr>
            </a:pPr>
            <a:r>
              <a:rPr lang="en-IN" b="0">
                <a:solidFill>
                  <a:srgbClr val="444746"/>
                </a:solidFill>
                <a:latin typeface="Roboto"/>
              </a:rPr>
              <a:t>Amount by Category and Month-Year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'Jun 26 - Review'!$B$3</c:f>
              <c:strCache>
                <c:ptCount val="1"/>
                <c:pt idx="0">
                  <c:v>EMI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numRef>
              <c:f>'Jun 26 - Review'!$A$4:$A$9</c:f>
              <c:numCache>
                <c:formatCode>m/d/yyyy</c:formatCode>
                <c:ptCount val="6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</c:numCache>
            </c:numRef>
          </c:cat>
          <c:val>
            <c:numRef>
              <c:f>'Jun 26 - Review'!$B$4:$B$9</c:f>
              <c:numCache>
                <c:formatCode>General</c:formatCode>
                <c:ptCount val="6"/>
                <c:pt idx="0">
                  <c:v>9600</c:v>
                </c:pt>
                <c:pt idx="1">
                  <c:v>9600</c:v>
                </c:pt>
                <c:pt idx="2">
                  <c:v>9600</c:v>
                </c:pt>
                <c:pt idx="3">
                  <c:v>9600</c:v>
                </c:pt>
                <c:pt idx="4">
                  <c:v>9600</c:v>
                </c:pt>
                <c:pt idx="5">
                  <c:v>9600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63F-4C84-B63E-34990C301FD1}"/>
            </c:ext>
          </c:extLst>
        </c:ser>
        <c:ser>
          <c:idx val="1"/>
          <c:order val="1"/>
          <c:tx>
            <c:strRef>
              <c:f>'Jun 26 - Review'!$C$3</c:f>
              <c:strCache>
                <c:ptCount val="1"/>
                <c:pt idx="0">
                  <c:v>Entertainment</c:v>
                </c:pt>
              </c:strCache>
            </c:strRef>
          </c:tx>
          <c:spPr>
            <a:solidFill>
              <a:srgbClr val="DB4437"/>
            </a:solidFill>
            <a:ln cmpd="sng">
              <a:noFill/>
            </a:ln>
          </c:spPr>
          <c:invertIfNegative val="1"/>
          <c:cat>
            <c:numRef>
              <c:f>'Jun 26 - Review'!$A$4:$A$9</c:f>
              <c:numCache>
                <c:formatCode>m/d/yyyy</c:formatCode>
                <c:ptCount val="6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</c:numCache>
            </c:numRef>
          </c:cat>
          <c:val>
            <c:numRef>
              <c:f>'Jun 26 - Review'!$C$4:$C$9</c:f>
              <c:numCache>
                <c:formatCode>General</c:formatCode>
                <c:ptCount val="6"/>
                <c:pt idx="0">
                  <c:v>1783</c:v>
                </c:pt>
                <c:pt idx="1">
                  <c:v>2094</c:v>
                </c:pt>
                <c:pt idx="2">
                  <c:v>499</c:v>
                </c:pt>
                <c:pt idx="3">
                  <c:v>499</c:v>
                </c:pt>
                <c:pt idx="4">
                  <c:v>499</c:v>
                </c:pt>
                <c:pt idx="5">
                  <c:v>977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63F-4C84-B63E-34990C301FD1}"/>
            </c:ext>
          </c:extLst>
        </c:ser>
        <c:ser>
          <c:idx val="2"/>
          <c:order val="2"/>
          <c:tx>
            <c:strRef>
              <c:f>'Jun 26 - Review'!$D$3</c:f>
              <c:strCache>
                <c:ptCount val="1"/>
                <c:pt idx="0">
                  <c:v>Experiences </c:v>
                </c:pt>
              </c:strCache>
            </c:strRef>
          </c:tx>
          <c:spPr>
            <a:solidFill>
              <a:srgbClr val="F4B400"/>
            </a:solidFill>
            <a:ln cmpd="sng">
              <a:noFill/>
            </a:ln>
          </c:spPr>
          <c:invertIfNegative val="1"/>
          <c:cat>
            <c:numRef>
              <c:f>'Jun 26 - Review'!$A$4:$A$9</c:f>
              <c:numCache>
                <c:formatCode>m/d/yyyy</c:formatCode>
                <c:ptCount val="6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</c:numCache>
            </c:numRef>
          </c:cat>
          <c:val>
            <c:numRef>
              <c:f>'Jun 26 - Review'!$D$4:$D$9</c:f>
              <c:numCache>
                <c:formatCode>General</c:formatCode>
                <c:ptCount val="6"/>
                <c:pt idx="0">
                  <c:v>28302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63F-4C84-B63E-34990C301FD1}"/>
            </c:ext>
          </c:extLst>
        </c:ser>
        <c:ser>
          <c:idx val="3"/>
          <c:order val="3"/>
          <c:tx>
            <c:strRef>
              <c:f>'Jun 26 - Review'!$E$3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rgbClr val="0F9D58"/>
            </a:solidFill>
            <a:ln cmpd="sng">
              <a:noFill/>
            </a:ln>
          </c:spPr>
          <c:invertIfNegative val="1"/>
          <c:cat>
            <c:numRef>
              <c:f>'Jun 26 - Review'!$A$4:$A$9</c:f>
              <c:numCache>
                <c:formatCode>m/d/yyyy</c:formatCode>
                <c:ptCount val="6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</c:numCache>
            </c:numRef>
          </c:cat>
          <c:val>
            <c:numRef>
              <c:f>'Jun 26 - Review'!$E$4:$E$9</c:f>
              <c:numCache>
                <c:formatCode>General</c:formatCode>
                <c:ptCount val="6"/>
                <c:pt idx="0">
                  <c:v>6811</c:v>
                </c:pt>
                <c:pt idx="1">
                  <c:v>1770</c:v>
                </c:pt>
                <c:pt idx="2">
                  <c:v>3829</c:v>
                </c:pt>
                <c:pt idx="3">
                  <c:v>5580</c:v>
                </c:pt>
                <c:pt idx="4">
                  <c:v>2601</c:v>
                </c:pt>
                <c:pt idx="5">
                  <c:v>4856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463F-4C84-B63E-34990C301FD1}"/>
            </c:ext>
          </c:extLst>
        </c:ser>
        <c:ser>
          <c:idx val="4"/>
          <c:order val="4"/>
          <c:tx>
            <c:strRef>
              <c:f>'Jun 26 - Review'!$F$3</c:f>
              <c:strCache>
                <c:ptCount val="1"/>
                <c:pt idx="0">
                  <c:v>Gifts</c:v>
                </c:pt>
              </c:strCache>
            </c:strRef>
          </c:tx>
          <c:spPr>
            <a:solidFill>
              <a:srgbClr val="FF6D00"/>
            </a:solidFill>
            <a:ln cmpd="sng">
              <a:noFill/>
            </a:ln>
          </c:spPr>
          <c:invertIfNegative val="1"/>
          <c:cat>
            <c:numRef>
              <c:f>'Jun 26 - Review'!$A$4:$A$9</c:f>
              <c:numCache>
                <c:formatCode>m/d/yyyy</c:formatCode>
                <c:ptCount val="6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</c:numCache>
            </c:numRef>
          </c:cat>
          <c:val>
            <c:numRef>
              <c:f>'Jun 26 - Review'!$F$4:$F$9</c:f>
              <c:numCache>
                <c:formatCode>General</c:formatCode>
                <c:ptCount val="6"/>
                <c:pt idx="0">
                  <c:v>650</c:v>
                </c:pt>
                <c:pt idx="3">
                  <c:v>408</c:v>
                </c:pt>
                <c:pt idx="4">
                  <c:v>540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463F-4C84-B63E-34990C301FD1}"/>
            </c:ext>
          </c:extLst>
        </c:ser>
        <c:ser>
          <c:idx val="5"/>
          <c:order val="5"/>
          <c:tx>
            <c:strRef>
              <c:f>'Jun 26 - Review'!$G$3</c:f>
              <c:strCache>
                <c:ptCount val="1"/>
                <c:pt idx="0">
                  <c:v>Groceries</c:v>
                </c:pt>
              </c:strCache>
            </c:strRef>
          </c:tx>
          <c:spPr>
            <a:solidFill>
              <a:srgbClr val="46BDC6"/>
            </a:solidFill>
            <a:ln cmpd="sng">
              <a:noFill/>
            </a:ln>
          </c:spPr>
          <c:invertIfNegative val="1"/>
          <c:cat>
            <c:numRef>
              <c:f>'Jun 26 - Review'!$A$4:$A$9</c:f>
              <c:numCache>
                <c:formatCode>m/d/yyyy</c:formatCode>
                <c:ptCount val="6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</c:numCache>
            </c:numRef>
          </c:cat>
          <c:val>
            <c:numRef>
              <c:f>'Jun 26 - Review'!$G$4:$G$9</c:f>
              <c:numCache>
                <c:formatCode>General</c:formatCode>
                <c:ptCount val="6"/>
                <c:pt idx="0">
                  <c:v>7679</c:v>
                </c:pt>
                <c:pt idx="1">
                  <c:v>8226</c:v>
                </c:pt>
                <c:pt idx="2">
                  <c:v>8953</c:v>
                </c:pt>
                <c:pt idx="3">
                  <c:v>10116</c:v>
                </c:pt>
                <c:pt idx="4">
                  <c:v>9141</c:v>
                </c:pt>
                <c:pt idx="5">
                  <c:v>12127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463F-4C84-B63E-34990C301FD1}"/>
            </c:ext>
          </c:extLst>
        </c:ser>
        <c:ser>
          <c:idx val="6"/>
          <c:order val="6"/>
          <c:tx>
            <c:strRef>
              <c:f>'Jun 26 - Review'!$H$3</c:f>
              <c:strCache>
                <c:ptCount val="1"/>
                <c:pt idx="0">
                  <c:v>Health/medical</c:v>
                </c:pt>
              </c:strCache>
            </c:strRef>
          </c:tx>
          <c:spPr>
            <a:solidFill>
              <a:srgbClr val="AB30C4"/>
            </a:solidFill>
            <a:ln cmpd="sng">
              <a:noFill/>
            </a:ln>
          </c:spPr>
          <c:invertIfNegative val="1"/>
          <c:cat>
            <c:numRef>
              <c:f>'Jun 26 - Review'!$A$4:$A$9</c:f>
              <c:numCache>
                <c:formatCode>m/d/yyyy</c:formatCode>
                <c:ptCount val="6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</c:numCache>
            </c:numRef>
          </c:cat>
          <c:val>
            <c:numRef>
              <c:f>'Jun 26 - Review'!$H$4:$H$9</c:f>
              <c:numCache>
                <c:formatCode>General</c:formatCode>
                <c:ptCount val="6"/>
                <c:pt idx="0">
                  <c:v>234</c:v>
                </c:pt>
                <c:pt idx="1">
                  <c:v>771</c:v>
                </c:pt>
                <c:pt idx="5">
                  <c:v>26212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463F-4C84-B63E-34990C301FD1}"/>
            </c:ext>
          </c:extLst>
        </c:ser>
        <c:ser>
          <c:idx val="7"/>
          <c:order val="7"/>
          <c:tx>
            <c:strRef>
              <c:f>'Jun 26 - Review'!$I$3</c:f>
              <c:strCache>
                <c:ptCount val="1"/>
                <c:pt idx="0">
                  <c:v>Home</c:v>
                </c:pt>
              </c:strCache>
            </c:strRef>
          </c:tx>
          <c:spPr>
            <a:solidFill>
              <a:srgbClr val="C1BC1F"/>
            </a:solidFill>
            <a:ln cmpd="sng">
              <a:noFill/>
            </a:ln>
          </c:spPr>
          <c:invertIfNegative val="1"/>
          <c:cat>
            <c:numRef>
              <c:f>'Jun 26 - Review'!$A$4:$A$9</c:f>
              <c:numCache>
                <c:formatCode>m/d/yyyy</c:formatCode>
                <c:ptCount val="6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</c:numCache>
            </c:numRef>
          </c:cat>
          <c:val>
            <c:numRef>
              <c:f>'Jun 26 - Review'!$I$4:$I$9</c:f>
              <c:numCache>
                <c:formatCode>General</c:formatCode>
                <c:ptCount val="6"/>
                <c:pt idx="0">
                  <c:v>12560</c:v>
                </c:pt>
                <c:pt idx="1">
                  <c:v>3897</c:v>
                </c:pt>
                <c:pt idx="2">
                  <c:v>1148</c:v>
                </c:pt>
                <c:pt idx="3">
                  <c:v>4856</c:v>
                </c:pt>
                <c:pt idx="4">
                  <c:v>3764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463F-4C84-B63E-34990C301FD1}"/>
            </c:ext>
          </c:extLst>
        </c:ser>
        <c:ser>
          <c:idx val="8"/>
          <c:order val="8"/>
          <c:tx>
            <c:strRef>
              <c:f>'Jun 26 - Review'!$J$3</c:f>
              <c:strCache>
                <c:ptCount val="1"/>
                <c:pt idx="0">
                  <c:v>Personal</c:v>
                </c:pt>
              </c:strCache>
            </c:strRef>
          </c:tx>
          <c:spPr>
            <a:solidFill>
              <a:srgbClr val="3949AB"/>
            </a:solidFill>
            <a:ln cmpd="sng">
              <a:noFill/>
            </a:ln>
          </c:spPr>
          <c:invertIfNegative val="1"/>
          <c:cat>
            <c:numRef>
              <c:f>'Jun 26 - Review'!$A$4:$A$9</c:f>
              <c:numCache>
                <c:formatCode>m/d/yyyy</c:formatCode>
                <c:ptCount val="6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</c:numCache>
            </c:numRef>
          </c:cat>
          <c:val>
            <c:numRef>
              <c:f>'Jun 26 - Review'!$J$4:$J$9</c:f>
              <c:numCache>
                <c:formatCode>General</c:formatCode>
                <c:ptCount val="6"/>
                <c:pt idx="0">
                  <c:v>5006</c:v>
                </c:pt>
                <c:pt idx="1">
                  <c:v>11154</c:v>
                </c:pt>
                <c:pt idx="2">
                  <c:v>2832</c:v>
                </c:pt>
                <c:pt idx="3">
                  <c:v>1990</c:v>
                </c:pt>
                <c:pt idx="4">
                  <c:v>3549</c:v>
                </c:pt>
                <c:pt idx="5">
                  <c:v>8120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463F-4C84-B63E-34990C301FD1}"/>
            </c:ext>
          </c:extLst>
        </c:ser>
        <c:ser>
          <c:idx val="9"/>
          <c:order val="9"/>
          <c:tx>
            <c:strRef>
              <c:f>'Jun 26 - Review'!$K$3</c:f>
              <c:strCache>
                <c:ptCount val="1"/>
                <c:pt idx="0">
                  <c:v>Savings-Mandatory</c:v>
                </c:pt>
              </c:strCache>
            </c:strRef>
          </c:tx>
          <c:spPr>
            <a:solidFill>
              <a:srgbClr val="F975A8"/>
            </a:solidFill>
            <a:ln cmpd="sng">
              <a:noFill/>
            </a:ln>
          </c:spPr>
          <c:invertIfNegative val="1"/>
          <c:cat>
            <c:numRef>
              <c:f>'Jun 26 - Review'!$A$4:$A$9</c:f>
              <c:numCache>
                <c:formatCode>m/d/yyyy</c:formatCode>
                <c:ptCount val="6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</c:numCache>
            </c:numRef>
          </c:cat>
          <c:val>
            <c:numRef>
              <c:f>'Jun 26 - Review'!$K$4:$K$9</c:f>
              <c:numCache>
                <c:formatCode>General</c:formatCode>
                <c:ptCount val="6"/>
                <c:pt idx="0">
                  <c:v>23500</c:v>
                </c:pt>
                <c:pt idx="1">
                  <c:v>23500</c:v>
                </c:pt>
                <c:pt idx="2">
                  <c:v>23500</c:v>
                </c:pt>
                <c:pt idx="3">
                  <c:v>83166</c:v>
                </c:pt>
                <c:pt idx="4">
                  <c:v>23500</c:v>
                </c:pt>
                <c:pt idx="5">
                  <c:v>37452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463F-4C84-B63E-34990C301FD1}"/>
            </c:ext>
          </c:extLst>
        </c:ser>
        <c:ser>
          <c:idx val="10"/>
          <c:order val="10"/>
          <c:tx>
            <c:strRef>
              <c:f>'Jun 26 - Review'!$M$3</c:f>
              <c:strCache>
                <c:ptCount val="1"/>
                <c:pt idx="0">
                  <c:v>Transportation</c:v>
                </c:pt>
              </c:strCache>
            </c:strRef>
          </c:tx>
          <c:spPr>
            <a:solidFill>
              <a:srgbClr val="00695C"/>
            </a:solidFill>
            <a:ln cmpd="sng">
              <a:noFill/>
            </a:ln>
          </c:spPr>
          <c:invertIfNegative val="1"/>
          <c:cat>
            <c:numRef>
              <c:f>'Jun 26 - Review'!$A$4:$A$9</c:f>
              <c:numCache>
                <c:formatCode>m/d/yyyy</c:formatCode>
                <c:ptCount val="6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</c:numCache>
            </c:numRef>
          </c:cat>
          <c:val>
            <c:numRef>
              <c:f>'Jun 26 - Review'!$M$4:$M$9</c:f>
              <c:numCache>
                <c:formatCode>General</c:formatCode>
                <c:ptCount val="6"/>
                <c:pt idx="0">
                  <c:v>1400</c:v>
                </c:pt>
                <c:pt idx="1">
                  <c:v>2297</c:v>
                </c:pt>
                <c:pt idx="2">
                  <c:v>297</c:v>
                </c:pt>
                <c:pt idx="3">
                  <c:v>2635</c:v>
                </c:pt>
                <c:pt idx="4">
                  <c:v>2125</c:v>
                </c:pt>
                <c:pt idx="5">
                  <c:v>320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463F-4C84-B63E-34990C301FD1}"/>
            </c:ext>
          </c:extLst>
        </c:ser>
        <c:ser>
          <c:idx val="11"/>
          <c:order val="11"/>
          <c:tx>
            <c:strRef>
              <c:f>'Jun 26 - Review'!$N$3</c:f>
              <c:strCache>
                <c:ptCount val="1"/>
                <c:pt idx="0">
                  <c:v>Utilities</c:v>
                </c:pt>
              </c:strCache>
            </c:strRef>
          </c:tx>
          <c:spPr>
            <a:solidFill>
              <a:srgbClr val="C2185B"/>
            </a:solidFill>
            <a:ln cmpd="sng">
              <a:noFill/>
            </a:ln>
          </c:spPr>
          <c:invertIfNegative val="1"/>
          <c:cat>
            <c:numRef>
              <c:f>'Jun 26 - Review'!$A$4:$A$9</c:f>
              <c:numCache>
                <c:formatCode>m/d/yyyy</c:formatCode>
                <c:ptCount val="6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</c:numCache>
            </c:numRef>
          </c:cat>
          <c:val>
            <c:numRef>
              <c:f>'Jun 26 - Review'!$N$4:$N$9</c:f>
              <c:numCache>
                <c:formatCode>General</c:formatCode>
                <c:ptCount val="6"/>
                <c:pt idx="0">
                  <c:v>8001</c:v>
                </c:pt>
                <c:pt idx="1">
                  <c:v>5703</c:v>
                </c:pt>
                <c:pt idx="2">
                  <c:v>13169</c:v>
                </c:pt>
                <c:pt idx="3">
                  <c:v>1171</c:v>
                </c:pt>
                <c:pt idx="4">
                  <c:v>2711</c:v>
                </c:pt>
                <c:pt idx="5">
                  <c:v>22874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463F-4C84-B63E-34990C301FD1}"/>
            </c:ext>
          </c:extLst>
        </c:ser>
        <c:ser>
          <c:idx val="12"/>
          <c:order val="12"/>
          <c:tx>
            <c:strRef>
              <c:f>'Jun 26 - Review'!$O$3</c:f>
              <c:strCache>
                <c:ptCount val="1"/>
                <c:pt idx="0">
                  <c:v>Travel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numRef>
              <c:f>'Jun 26 - Review'!$A$4:$A$9</c:f>
              <c:numCache>
                <c:formatCode>m/d/yyyy</c:formatCode>
                <c:ptCount val="6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</c:numCache>
            </c:numRef>
          </c:cat>
          <c:val>
            <c:numRef>
              <c:f>'Jun 26 - Review'!$O$4:$O$9</c:f>
              <c:numCache>
                <c:formatCode>General</c:formatCode>
                <c:ptCount val="6"/>
                <c:pt idx="2">
                  <c:v>14872</c:v>
                </c:pt>
                <c:pt idx="3">
                  <c:v>3906</c:v>
                </c:pt>
                <c:pt idx="4">
                  <c:v>3549</c:v>
                </c:pt>
                <c:pt idx="5">
                  <c:v>6499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463F-4C84-B63E-34990C301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7752954"/>
        <c:axId val="424738364"/>
      </c:barChart>
      <c:dateAx>
        <c:axId val="9377529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Roboto"/>
                  </a:rPr>
                  <a:t>Month-Year</a:t>
                </a:r>
              </a:p>
            </c:rich>
          </c:tx>
          <c:overlay val="0"/>
        </c:title>
        <c:numFmt formatCode="m/d/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424738364"/>
        <c:crosses val="autoZero"/>
        <c:auto val="1"/>
        <c:lblOffset val="100"/>
        <c:baseTimeUnit val="months"/>
      </c:dateAx>
      <c:valAx>
        <c:axId val="4247383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Roboto"/>
                  </a:rPr>
                  <a:t>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93775295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000"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0F4F9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Roboto"/>
              </a:defRPr>
            </a:pPr>
            <a:r>
              <a:rPr lang="en-IN" b="0">
                <a:solidFill>
                  <a:srgbClr val="444746"/>
                </a:solidFill>
                <a:latin typeface="Roboto"/>
              </a:rPr>
              <a:t>Amount by Category and Month-Year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'Jun 26 - Review'!$L$3</c:f>
              <c:strCache>
                <c:ptCount val="1"/>
                <c:pt idx="0">
                  <c:v>Savings-Optional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numRef>
              <c:f>'Jun 26 - Review'!$A$4:$A$9</c:f>
              <c:numCache>
                <c:formatCode>m/d/yyyy</c:formatCode>
                <c:ptCount val="6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</c:numCache>
            </c:numRef>
          </c:cat>
          <c:val>
            <c:numRef>
              <c:f>'Jun 26 - Review'!$L$4:$L$9</c:f>
              <c:numCache>
                <c:formatCode>General</c:formatCode>
                <c:ptCount val="6"/>
                <c:pt idx="0">
                  <c:v>166000</c:v>
                </c:pt>
                <c:pt idx="1">
                  <c:v>150000</c:v>
                </c:pt>
                <c:pt idx="2">
                  <c:v>320000</c:v>
                </c:pt>
                <c:pt idx="3">
                  <c:v>166000</c:v>
                </c:pt>
                <c:pt idx="4">
                  <c:v>196000</c:v>
                </c:pt>
                <c:pt idx="5">
                  <c:v>86000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534-40B8-B290-CD52059A7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5734804"/>
        <c:axId val="347870930"/>
      </c:barChart>
      <c:dateAx>
        <c:axId val="11457348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Roboto"/>
                  </a:rPr>
                  <a:t>Month-Year</a:t>
                </a:r>
              </a:p>
            </c:rich>
          </c:tx>
          <c:overlay val="0"/>
        </c:title>
        <c:numFmt formatCode="m/d/yyyy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347870930"/>
        <c:crosses val="autoZero"/>
        <c:auto val="1"/>
        <c:lblOffset val="100"/>
        <c:baseTimeUnit val="months"/>
      </c:dateAx>
      <c:valAx>
        <c:axId val="3478709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Roboto"/>
                  </a:rPr>
                  <a:t>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114573480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 rtl="0">
            <a:defRPr b="0">
              <a:solidFill>
                <a:srgbClr val="000000"/>
              </a:solidFill>
              <a:latin typeface="Roboto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0F4F9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447675</xdr:colOff>
      <xdr:row>4</xdr:row>
      <xdr:rowOff>28575</xdr:rowOff>
    </xdr:from>
    <xdr:ext cx="7458075" cy="34290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447675</xdr:colOff>
      <xdr:row>4</xdr:row>
      <xdr:rowOff>28575</xdr:rowOff>
    </xdr:from>
    <xdr:ext cx="7458075" cy="3429000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447675</xdr:colOff>
      <xdr:row>4</xdr:row>
      <xdr:rowOff>28575</xdr:rowOff>
    </xdr:from>
    <xdr:ext cx="7458075" cy="3429000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447675</xdr:colOff>
      <xdr:row>4</xdr:row>
      <xdr:rowOff>28575</xdr:rowOff>
    </xdr:from>
    <xdr:ext cx="7458075" cy="3429000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20025" cy="3733800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647700</xdr:colOff>
      <xdr:row>0</xdr:row>
      <xdr:rowOff>0</xdr:rowOff>
    </xdr:from>
    <xdr:ext cx="4762500" cy="2857500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1-25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07-25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09-25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08-25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06-25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04-25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05-2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-25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-25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9-25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8-25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6-25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-25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-25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mount_by_Category_and_Month_Year_2" displayName="Amount_by_Category_and_Month_Year_2" ref="A3:O9">
  <tableColumns count="15">
    <tableColumn id="1" xr3:uid="{00000000-0010-0000-0000-000001000000}" name="Month-Year"/>
    <tableColumn id="2" xr3:uid="{00000000-0010-0000-0000-000002000000}" name="EMI"/>
    <tableColumn id="3" xr3:uid="{00000000-0010-0000-0000-000003000000}" name="Entertainment"/>
    <tableColumn id="4" xr3:uid="{00000000-0010-0000-0000-000004000000}" name="Experiences "/>
    <tableColumn id="5" xr3:uid="{00000000-0010-0000-0000-000005000000}" name="Food"/>
    <tableColumn id="6" xr3:uid="{00000000-0010-0000-0000-000006000000}" name="Gifts"/>
    <tableColumn id="7" xr3:uid="{00000000-0010-0000-0000-000007000000}" name="Groceries"/>
    <tableColumn id="8" xr3:uid="{00000000-0010-0000-0000-000008000000}" name="Health/medical"/>
    <tableColumn id="9" xr3:uid="{00000000-0010-0000-0000-000009000000}" name="Home"/>
    <tableColumn id="10" xr3:uid="{00000000-0010-0000-0000-00000A000000}" name="Personal"/>
    <tableColumn id="11" xr3:uid="{00000000-0010-0000-0000-00000B000000}" name="Savings-Mandatory"/>
    <tableColumn id="12" xr3:uid="{00000000-0010-0000-0000-00000C000000}" name="Savings-Optional"/>
    <tableColumn id="13" xr3:uid="{00000000-0010-0000-0000-00000D000000}" name="Transportation"/>
    <tableColumn id="14" xr3:uid="{00000000-0010-0000-0000-00000E000000}" name="Utilities"/>
    <tableColumn id="15" xr3:uid="{00000000-0010-0000-0000-00000F000000}" name="Travel"/>
  </tableColumns>
  <tableStyleInfo name="Jun 26 - Review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34343"/>
    <outlinePr summaryBelow="0" summaryRight="0"/>
  </sheetPr>
  <dimension ref="A1:AM117"/>
  <sheetViews>
    <sheetView showGridLines="0" tabSelected="1" workbookViewId="0"/>
  </sheetViews>
  <sheetFormatPr defaultColWidth="12.59765625" defaultRowHeight="15.75" customHeight="1" x14ac:dyDescent="0.35"/>
  <cols>
    <col min="1" max="1" width="5.1328125" customWidth="1"/>
    <col min="2" max="2" width="10.46484375" customWidth="1"/>
    <col min="3" max="3" width="10" customWidth="1"/>
    <col min="4" max="4" width="20.86328125" customWidth="1"/>
    <col min="5" max="5" width="16.265625" customWidth="1"/>
    <col min="6" max="6" width="5.1328125" customWidth="1"/>
    <col min="9" max="9" width="13.265625" customWidth="1"/>
    <col min="11" max="12" width="6.59765625" customWidth="1"/>
    <col min="13" max="13" width="11.59765625" customWidth="1"/>
    <col min="14" max="14" width="10.86328125" customWidth="1"/>
    <col min="15" max="15" width="11.86328125" customWidth="1"/>
    <col min="16" max="16" width="19.3984375" customWidth="1"/>
    <col min="17" max="19" width="6.59765625" customWidth="1"/>
    <col min="20" max="20" width="19.1328125" customWidth="1"/>
    <col min="21" max="21" width="10.73046875" customWidth="1"/>
    <col min="22" max="39" width="6.59765625" customWidth="1"/>
  </cols>
  <sheetData>
    <row r="1" spans="1:39" ht="33" customHeight="1" x14ac:dyDescent="0.35">
      <c r="A1" s="1"/>
      <c r="B1" s="94" t="s">
        <v>0</v>
      </c>
      <c r="C1" s="95"/>
      <c r="D1" s="95"/>
      <c r="E1" s="95"/>
      <c r="F1" s="95"/>
      <c r="G1" s="95"/>
      <c r="H1" s="95"/>
      <c r="I1" s="95"/>
      <c r="J1" s="9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48" customHeight="1" x14ac:dyDescent="0.95">
      <c r="A2" s="2"/>
      <c r="B2" s="3" t="s">
        <v>1</v>
      </c>
      <c r="C2" s="2"/>
      <c r="D2" s="2"/>
      <c r="E2" s="2"/>
      <c r="F2" s="2"/>
      <c r="G2" s="3" t="s">
        <v>2</v>
      </c>
      <c r="H2" s="2"/>
      <c r="I2" s="2"/>
      <c r="J2" s="2"/>
      <c r="K2" s="2"/>
      <c r="L2" s="4"/>
      <c r="M2" s="5"/>
      <c r="N2" s="5"/>
      <c r="O2" s="5"/>
      <c r="P2" s="6"/>
      <c r="Q2" s="7"/>
      <c r="R2" s="8"/>
      <c r="S2" s="7"/>
      <c r="T2" s="7"/>
      <c r="U2" s="7"/>
      <c r="V2" s="7"/>
      <c r="W2" s="7"/>
      <c r="X2" s="7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39" ht="12" customHeight="1" x14ac:dyDescent="0.6">
      <c r="A3" s="4"/>
      <c r="B3" s="9"/>
      <c r="C3" s="9"/>
      <c r="D3" s="9"/>
      <c r="E3" s="9"/>
      <c r="F3" s="4"/>
      <c r="G3" s="9"/>
      <c r="H3" s="9"/>
      <c r="I3" s="9"/>
      <c r="J3" s="9"/>
      <c r="K3" s="4"/>
      <c r="L3" s="10"/>
      <c r="M3" s="96" t="s">
        <v>3</v>
      </c>
      <c r="N3" s="95"/>
      <c r="O3" s="95"/>
      <c r="P3" s="95"/>
      <c r="Q3" s="7"/>
      <c r="R3" s="11"/>
      <c r="S3" s="7"/>
      <c r="T3" s="12"/>
      <c r="U3" s="97"/>
      <c r="V3" s="95"/>
      <c r="W3" s="13"/>
      <c r="X3" s="7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39" ht="24" customHeight="1" x14ac:dyDescent="0.35">
      <c r="A4" s="14"/>
      <c r="B4" s="15" t="s">
        <v>4</v>
      </c>
      <c r="C4" s="15" t="s">
        <v>5</v>
      </c>
      <c r="D4" s="15" t="s">
        <v>6</v>
      </c>
      <c r="E4" s="15" t="s">
        <v>7</v>
      </c>
      <c r="F4" s="14"/>
      <c r="G4" s="15" t="s">
        <v>4</v>
      </c>
      <c r="H4" s="15" t="s">
        <v>5</v>
      </c>
      <c r="I4" s="15" t="s">
        <v>6</v>
      </c>
      <c r="J4" s="15" t="s">
        <v>7</v>
      </c>
      <c r="K4" s="14"/>
      <c r="L4" s="10"/>
      <c r="M4" s="95"/>
      <c r="N4" s="95"/>
      <c r="O4" s="95"/>
      <c r="P4" s="95"/>
      <c r="Q4" s="7"/>
      <c r="R4" s="11"/>
      <c r="S4" s="7"/>
      <c r="T4" s="16"/>
      <c r="U4" s="7"/>
      <c r="V4" s="7"/>
      <c r="W4" s="11"/>
      <c r="X4" s="7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</row>
    <row r="5" spans="1:39" ht="19.5" customHeight="1" x14ac:dyDescent="0.35">
      <c r="A5" s="14"/>
      <c r="B5" s="17">
        <v>46204</v>
      </c>
      <c r="C5" s="18">
        <v>794</v>
      </c>
      <c r="D5" s="19" t="s">
        <v>8</v>
      </c>
      <c r="E5" s="20" t="s">
        <v>9</v>
      </c>
      <c r="F5" s="14"/>
      <c r="G5" s="17">
        <v>46204</v>
      </c>
      <c r="H5" s="18">
        <v>319000</v>
      </c>
      <c r="I5" s="21" t="s">
        <v>10</v>
      </c>
      <c r="J5" s="20" t="s">
        <v>11</v>
      </c>
      <c r="K5" s="14"/>
      <c r="L5" s="7"/>
      <c r="M5" s="22"/>
      <c r="N5" s="22"/>
      <c r="O5" s="22"/>
      <c r="P5" s="22"/>
      <c r="Q5" s="7"/>
      <c r="R5" s="11"/>
      <c r="S5" s="7"/>
      <c r="T5" s="16"/>
      <c r="U5" s="7"/>
      <c r="V5" s="7"/>
      <c r="W5" s="11"/>
      <c r="X5" s="7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</row>
    <row r="6" spans="1:39" ht="19.5" customHeight="1" x14ac:dyDescent="0.35">
      <c r="A6" s="14"/>
      <c r="B6" s="17">
        <v>46204</v>
      </c>
      <c r="C6" s="18">
        <v>10000</v>
      </c>
      <c r="D6" s="19" t="s">
        <v>12</v>
      </c>
      <c r="E6" s="23" t="s">
        <v>13</v>
      </c>
      <c r="F6" s="14"/>
      <c r="G6" s="24"/>
      <c r="H6" s="25"/>
      <c r="I6" s="26"/>
      <c r="J6" s="23"/>
      <c r="K6" s="14"/>
      <c r="L6" s="7"/>
      <c r="M6" s="22"/>
      <c r="N6" s="22"/>
      <c r="O6" s="22"/>
      <c r="P6" s="22"/>
      <c r="Q6" s="7"/>
      <c r="R6" s="11"/>
      <c r="S6" s="7"/>
      <c r="T6" s="16"/>
      <c r="U6" s="7"/>
      <c r="V6" s="7"/>
      <c r="W6" s="11"/>
      <c r="X6" s="7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</row>
    <row r="7" spans="1:39" ht="19.5" customHeight="1" x14ac:dyDescent="0.35">
      <c r="A7" s="14"/>
      <c r="B7" s="17">
        <v>46204</v>
      </c>
      <c r="C7" s="18">
        <v>16000</v>
      </c>
      <c r="D7" s="27" t="s">
        <v>14</v>
      </c>
      <c r="E7" s="23" t="s">
        <v>13</v>
      </c>
      <c r="F7" s="14"/>
      <c r="G7" s="24"/>
      <c r="H7" s="25"/>
      <c r="I7" s="26"/>
      <c r="J7" s="23"/>
      <c r="K7" s="14"/>
      <c r="L7" s="7"/>
      <c r="M7" s="22"/>
      <c r="N7" s="22"/>
      <c r="O7" s="22"/>
      <c r="P7" s="22"/>
      <c r="Q7" s="7"/>
      <c r="R7" s="11"/>
      <c r="S7" s="7"/>
      <c r="T7" s="16"/>
      <c r="U7" s="7"/>
      <c r="V7" s="7"/>
      <c r="W7" s="11"/>
      <c r="X7" s="7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</row>
    <row r="8" spans="1:39" ht="19.5" customHeight="1" x14ac:dyDescent="0.35">
      <c r="A8" s="14"/>
      <c r="B8" s="17">
        <v>46204</v>
      </c>
      <c r="C8" s="18">
        <v>279</v>
      </c>
      <c r="D8" s="19" t="s">
        <v>15</v>
      </c>
      <c r="E8" s="23" t="s">
        <v>16</v>
      </c>
      <c r="F8" s="14"/>
      <c r="G8" s="24"/>
      <c r="H8" s="25"/>
      <c r="I8" s="26"/>
      <c r="J8" s="23"/>
      <c r="K8" s="14"/>
      <c r="L8" s="7"/>
      <c r="M8" s="22"/>
      <c r="N8" s="22"/>
      <c r="O8" s="22"/>
      <c r="P8" s="22"/>
      <c r="Q8" s="7"/>
      <c r="R8" s="11"/>
      <c r="S8" s="7"/>
      <c r="T8" s="16"/>
      <c r="U8" s="7"/>
      <c r="V8" s="7"/>
      <c r="W8" s="11"/>
      <c r="X8" s="7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</row>
    <row r="9" spans="1:39" ht="19.5" customHeight="1" x14ac:dyDescent="0.35">
      <c r="A9" s="14"/>
      <c r="B9" s="17">
        <v>46204</v>
      </c>
      <c r="C9" s="18">
        <v>0</v>
      </c>
      <c r="D9" s="19" t="s">
        <v>17</v>
      </c>
      <c r="E9" s="20" t="s">
        <v>9</v>
      </c>
      <c r="F9" s="14"/>
      <c r="G9" s="24"/>
      <c r="H9" s="25"/>
      <c r="I9" s="26"/>
      <c r="J9" s="23"/>
      <c r="K9" s="14"/>
      <c r="L9" s="7"/>
      <c r="M9" s="22"/>
      <c r="N9" s="22"/>
      <c r="O9" s="22"/>
      <c r="P9" s="22"/>
      <c r="Q9" s="7"/>
      <c r="R9" s="11"/>
      <c r="S9" s="7"/>
      <c r="T9" s="16"/>
      <c r="U9" s="7"/>
      <c r="V9" s="7"/>
      <c r="W9" s="11"/>
      <c r="X9" s="7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</row>
    <row r="10" spans="1:39" ht="19.5" customHeight="1" x14ac:dyDescent="0.35">
      <c r="A10" s="14"/>
      <c r="B10" s="17">
        <v>46204</v>
      </c>
      <c r="C10" s="18">
        <v>9600</v>
      </c>
      <c r="D10" s="19" t="s">
        <v>18</v>
      </c>
      <c r="E10" s="23" t="s">
        <v>19</v>
      </c>
      <c r="F10" s="14"/>
      <c r="G10" s="24"/>
      <c r="H10" s="25"/>
      <c r="I10" s="26"/>
      <c r="J10" s="23"/>
      <c r="K10" s="14"/>
      <c r="L10" s="7"/>
      <c r="M10" s="22"/>
      <c r="N10" s="22"/>
      <c r="O10" s="22"/>
      <c r="P10" s="22"/>
      <c r="Q10" s="7"/>
      <c r="R10" s="11"/>
      <c r="S10" s="7"/>
      <c r="T10" s="16"/>
      <c r="U10" s="7"/>
      <c r="V10" s="7"/>
      <c r="W10" s="11"/>
      <c r="X10" s="7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</row>
    <row r="11" spans="1:39" ht="19.5" customHeight="1" x14ac:dyDescent="0.35">
      <c r="A11" s="14"/>
      <c r="B11" s="17">
        <v>46204</v>
      </c>
      <c r="C11" s="18">
        <v>189000</v>
      </c>
      <c r="D11" s="19" t="s">
        <v>20</v>
      </c>
      <c r="E11" s="23" t="s">
        <v>21</v>
      </c>
      <c r="F11" s="14"/>
      <c r="G11" s="24"/>
      <c r="H11" s="25"/>
      <c r="I11" s="26"/>
      <c r="J11" s="23"/>
      <c r="K11" s="14"/>
      <c r="L11" s="7"/>
      <c r="M11" s="22"/>
      <c r="N11" s="22"/>
      <c r="O11" s="22"/>
      <c r="P11" s="22"/>
      <c r="Q11" s="7"/>
      <c r="R11" s="11"/>
      <c r="S11" s="7"/>
      <c r="T11" s="16"/>
      <c r="U11" s="7"/>
      <c r="V11" s="7"/>
      <c r="W11" s="11"/>
      <c r="X11" s="7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</row>
    <row r="12" spans="1:39" ht="19.5" customHeight="1" x14ac:dyDescent="0.35">
      <c r="A12" s="14"/>
      <c r="B12" s="17">
        <v>46204</v>
      </c>
      <c r="C12" s="18">
        <v>2500</v>
      </c>
      <c r="D12" s="19" t="s">
        <v>22</v>
      </c>
      <c r="E12" s="23" t="s">
        <v>9</v>
      </c>
      <c r="F12" s="14"/>
      <c r="G12" s="24"/>
      <c r="H12" s="25"/>
      <c r="I12" s="26"/>
      <c r="J12" s="23"/>
      <c r="K12" s="14"/>
      <c r="L12" s="7"/>
      <c r="M12" s="22"/>
      <c r="N12" s="22"/>
      <c r="O12" s="22"/>
      <c r="P12" s="22"/>
      <c r="Q12" s="7"/>
      <c r="R12" s="11"/>
      <c r="S12" s="7"/>
      <c r="T12" s="16"/>
      <c r="U12" s="7"/>
      <c r="V12" s="7"/>
      <c r="W12" s="11"/>
      <c r="X12" s="7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</row>
    <row r="13" spans="1:39" ht="19.5" customHeight="1" x14ac:dyDescent="0.35">
      <c r="A13" s="14"/>
      <c r="B13" s="17">
        <v>46204</v>
      </c>
      <c r="C13" s="18">
        <v>13211</v>
      </c>
      <c r="D13" s="19" t="s">
        <v>23</v>
      </c>
      <c r="E13" s="28" t="s">
        <v>19</v>
      </c>
      <c r="F13" s="14"/>
      <c r="G13" s="24"/>
      <c r="H13" s="25"/>
      <c r="I13" s="26"/>
      <c r="J13" s="23"/>
      <c r="K13" s="14"/>
      <c r="L13" s="7"/>
      <c r="M13" s="22"/>
      <c r="N13" s="22"/>
      <c r="O13" s="22"/>
      <c r="P13" s="22"/>
      <c r="Q13" s="7"/>
      <c r="R13" s="29"/>
      <c r="S13" s="30"/>
      <c r="T13" s="31"/>
      <c r="U13" s="30"/>
      <c r="V13" s="30"/>
      <c r="W13" s="29"/>
      <c r="X13" s="30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</row>
    <row r="14" spans="1:39" ht="19.5" customHeight="1" x14ac:dyDescent="0.6">
      <c r="A14" s="14"/>
      <c r="B14" s="17">
        <v>46204</v>
      </c>
      <c r="C14" s="18">
        <v>10000</v>
      </c>
      <c r="D14" s="19" t="s">
        <v>24</v>
      </c>
      <c r="E14" s="23" t="s">
        <v>25</v>
      </c>
      <c r="F14" s="14"/>
      <c r="G14" s="24"/>
      <c r="H14" s="25"/>
      <c r="I14" s="26"/>
      <c r="J14" s="23"/>
      <c r="K14" s="14"/>
      <c r="L14" s="4"/>
      <c r="M14" s="32"/>
      <c r="N14" s="32"/>
      <c r="O14" s="33"/>
      <c r="P14" s="4"/>
      <c r="Q14" s="4"/>
      <c r="R14" s="34"/>
      <c r="S14" s="34"/>
      <c r="T14" s="34"/>
      <c r="U14" s="34"/>
      <c r="V14" s="34"/>
      <c r="W14" s="35"/>
      <c r="X14" s="35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</row>
    <row r="15" spans="1:39" ht="19.5" customHeight="1" x14ac:dyDescent="0.6">
      <c r="A15" s="14"/>
      <c r="B15" s="17">
        <v>46204</v>
      </c>
      <c r="C15" s="18">
        <v>353</v>
      </c>
      <c r="D15" s="19" t="s">
        <v>26</v>
      </c>
      <c r="E15" s="23" t="s">
        <v>27</v>
      </c>
      <c r="F15" s="14"/>
      <c r="G15" s="24"/>
      <c r="H15" s="25"/>
      <c r="I15" s="26"/>
      <c r="J15" s="23"/>
      <c r="K15" s="14"/>
      <c r="L15" s="12"/>
      <c r="M15" s="4"/>
      <c r="N15" s="12"/>
      <c r="O15" s="36"/>
      <c r="P15" s="4"/>
      <c r="Q15" s="4"/>
      <c r="R15" s="35"/>
      <c r="S15" s="34"/>
      <c r="T15" s="34"/>
      <c r="U15" s="34"/>
      <c r="V15" s="34"/>
      <c r="W15" s="34"/>
      <c r="X15" s="3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</row>
    <row r="16" spans="1:39" ht="19.5" customHeight="1" x14ac:dyDescent="1.35">
      <c r="A16" s="14"/>
      <c r="B16" s="17">
        <v>46209</v>
      </c>
      <c r="C16" s="18">
        <f>510+560+15+10</f>
        <v>1095</v>
      </c>
      <c r="D16" s="19" t="s">
        <v>28</v>
      </c>
      <c r="E16" s="23" t="s">
        <v>29</v>
      </c>
      <c r="F16" s="14"/>
      <c r="G16" s="24"/>
      <c r="H16" s="25"/>
      <c r="I16" s="26"/>
      <c r="J16" s="23"/>
      <c r="K16" s="14"/>
      <c r="L16" s="12"/>
      <c r="M16" s="4"/>
      <c r="N16" s="36"/>
      <c r="O16" s="36"/>
      <c r="P16" s="4"/>
      <c r="Q16" s="4"/>
      <c r="R16" s="35"/>
      <c r="S16" s="34"/>
      <c r="T16" s="98"/>
      <c r="U16" s="95"/>
      <c r="V16" s="95"/>
      <c r="W16" s="34"/>
      <c r="X16" s="37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</row>
    <row r="17" spans="1:39" ht="19.5" customHeight="1" x14ac:dyDescent="1.35">
      <c r="A17" s="14"/>
      <c r="B17" s="17">
        <v>46209</v>
      </c>
      <c r="C17" s="18">
        <f>80+90+148+110</f>
        <v>428</v>
      </c>
      <c r="D17" s="19" t="s">
        <v>30</v>
      </c>
      <c r="E17" s="23" t="s">
        <v>29</v>
      </c>
      <c r="F17" s="14"/>
      <c r="G17" s="24"/>
      <c r="H17" s="25"/>
      <c r="I17" s="26"/>
      <c r="J17" s="23"/>
      <c r="K17" s="14"/>
      <c r="L17" s="4"/>
      <c r="M17" s="4"/>
      <c r="N17" s="36"/>
      <c r="O17" s="36"/>
      <c r="P17" s="4"/>
      <c r="Q17" s="4"/>
      <c r="R17" s="35"/>
      <c r="S17" s="34"/>
      <c r="T17" s="99"/>
      <c r="U17" s="95"/>
      <c r="V17" s="95"/>
      <c r="W17" s="34"/>
      <c r="X17" s="38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</row>
    <row r="18" spans="1:39" ht="19.5" customHeight="1" x14ac:dyDescent="1.35">
      <c r="A18" s="14"/>
      <c r="B18" s="17">
        <v>46209</v>
      </c>
      <c r="C18" s="18">
        <v>1020</v>
      </c>
      <c r="D18" s="19" t="s">
        <v>31</v>
      </c>
      <c r="E18" s="23" t="s">
        <v>29</v>
      </c>
      <c r="F18" s="14"/>
      <c r="G18" s="24"/>
      <c r="H18" s="25"/>
      <c r="I18" s="26"/>
      <c r="J18" s="23"/>
      <c r="K18" s="14"/>
      <c r="L18" s="4"/>
      <c r="M18" s="4"/>
      <c r="N18" s="36"/>
      <c r="O18" s="36"/>
      <c r="P18" s="4"/>
      <c r="Q18" s="4"/>
      <c r="R18" s="39"/>
      <c r="S18" s="34"/>
      <c r="T18" s="100"/>
      <c r="U18" s="95"/>
      <c r="V18" s="95"/>
      <c r="W18" s="34"/>
      <c r="X18" s="38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</row>
    <row r="19" spans="1:39" ht="19.5" customHeight="1" x14ac:dyDescent="0.8">
      <c r="A19" s="14"/>
      <c r="B19" s="17">
        <v>46205</v>
      </c>
      <c r="C19" s="18">
        <v>34971</v>
      </c>
      <c r="D19" s="19" t="s">
        <v>32</v>
      </c>
      <c r="E19" s="23" t="s">
        <v>13</v>
      </c>
      <c r="F19" s="14"/>
      <c r="G19" s="24"/>
      <c r="H19" s="25"/>
      <c r="I19" s="26"/>
      <c r="J19" s="23"/>
      <c r="K19" s="14"/>
      <c r="L19" s="4"/>
      <c r="M19" s="32"/>
      <c r="N19" s="40"/>
      <c r="O19" s="41"/>
      <c r="P19" s="42"/>
      <c r="Q19" s="40"/>
      <c r="R19" s="43"/>
      <c r="S19" s="34"/>
      <c r="T19" s="101"/>
      <c r="U19" s="95"/>
      <c r="V19" s="95"/>
      <c r="W19" s="34"/>
      <c r="X19" s="4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</row>
    <row r="20" spans="1:39" ht="19.5" customHeight="1" x14ac:dyDescent="0.35">
      <c r="A20" s="14"/>
      <c r="B20" s="17">
        <v>46206</v>
      </c>
      <c r="C20" s="18">
        <v>460</v>
      </c>
      <c r="D20" s="19" t="s">
        <v>33</v>
      </c>
      <c r="E20" s="23" t="s">
        <v>25</v>
      </c>
      <c r="F20" s="14"/>
      <c r="G20" s="24"/>
      <c r="H20" s="25"/>
      <c r="I20" s="26"/>
      <c r="J20" s="23"/>
      <c r="K20" s="14"/>
      <c r="L20" s="45"/>
      <c r="M20" s="46" t="s">
        <v>1</v>
      </c>
      <c r="N20" s="46"/>
      <c r="O20" s="47" t="s">
        <v>34</v>
      </c>
      <c r="P20" s="46"/>
      <c r="Q20" s="46"/>
      <c r="R20" s="48"/>
      <c r="S20" s="106" t="s">
        <v>2</v>
      </c>
      <c r="T20" s="95"/>
      <c r="U20" s="95"/>
      <c r="V20" s="95"/>
      <c r="W20" s="95"/>
      <c r="X20" s="48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</row>
    <row r="21" spans="1:39" ht="19.5" customHeight="1" x14ac:dyDescent="0.35">
      <c r="A21" s="14"/>
      <c r="B21" s="17">
        <v>46206</v>
      </c>
      <c r="C21" s="18">
        <v>753</v>
      </c>
      <c r="D21" s="19" t="s">
        <v>35</v>
      </c>
      <c r="E21" s="23" t="s">
        <v>27</v>
      </c>
      <c r="F21" s="14"/>
      <c r="G21" s="24"/>
      <c r="H21" s="25"/>
      <c r="I21" s="26"/>
      <c r="J21" s="23"/>
      <c r="K21" s="14"/>
      <c r="L21" s="14"/>
      <c r="M21" s="47" t="s">
        <v>36</v>
      </c>
      <c r="N21" s="49">
        <f>O26</f>
        <v>315634</v>
      </c>
      <c r="O21" s="49">
        <f>SUM(O28:O40,O42,O43)</f>
        <v>126634</v>
      </c>
      <c r="P21" s="50"/>
      <c r="Q21" s="50"/>
      <c r="R21" s="51"/>
      <c r="S21" s="47" t="s">
        <v>36</v>
      </c>
      <c r="T21" s="49">
        <f>U26</f>
        <v>319000</v>
      </c>
      <c r="U21" s="107" t="str">
        <f ca="1">IFERROR(__xludf.DUMMYFUNCTION("SPARKLINE(T21,{""charttype"",""bar"";""max"",max(T21);""color1"",""#334960""})"),"")</f>
        <v/>
      </c>
      <c r="V21" s="95"/>
      <c r="W21" s="95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</row>
    <row r="22" spans="1:39" ht="19.5" customHeight="1" x14ac:dyDescent="0.35">
      <c r="A22" s="14"/>
      <c r="B22" s="17">
        <v>46208</v>
      </c>
      <c r="C22" s="18">
        <v>1427</v>
      </c>
      <c r="D22" s="19" t="s">
        <v>37</v>
      </c>
      <c r="E22" s="23" t="s">
        <v>38</v>
      </c>
      <c r="F22" s="14"/>
      <c r="G22" s="24"/>
      <c r="H22" s="25"/>
      <c r="I22" s="26"/>
      <c r="J22" s="23"/>
      <c r="K22" s="14"/>
      <c r="L22" s="14"/>
      <c r="M22" s="47" t="s">
        <v>39</v>
      </c>
      <c r="N22" s="49">
        <f>SUM(O28:O37,O39,O42,O43)</f>
        <v>42852</v>
      </c>
      <c r="O22" s="50"/>
      <c r="P22" s="50"/>
      <c r="Q22" s="50"/>
      <c r="R22" s="51"/>
      <c r="S22" s="47"/>
      <c r="T22" s="49"/>
      <c r="U22" s="50"/>
      <c r="V22" s="50"/>
      <c r="W22" s="50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</row>
    <row r="23" spans="1:39" ht="19.5" customHeight="1" x14ac:dyDescent="0.6">
      <c r="A23" s="14"/>
      <c r="B23" s="17">
        <v>46208</v>
      </c>
      <c r="C23" s="18">
        <v>8839</v>
      </c>
      <c r="D23" s="19" t="s">
        <v>40</v>
      </c>
      <c r="E23" s="23" t="s">
        <v>41</v>
      </c>
      <c r="F23" s="14"/>
      <c r="G23" s="24"/>
      <c r="H23" s="25"/>
      <c r="I23" s="26"/>
      <c r="J23" s="23"/>
      <c r="K23" s="14"/>
      <c r="L23" s="4"/>
      <c r="M23" s="108" t="s">
        <v>42</v>
      </c>
      <c r="N23" s="95"/>
      <c r="O23" s="52">
        <f>T21-N21</f>
        <v>3366</v>
      </c>
      <c r="P23" s="46"/>
      <c r="Q23" s="46"/>
      <c r="R23" s="4"/>
      <c r="T23" s="53"/>
      <c r="U23" s="109"/>
      <c r="V23" s="95"/>
      <c r="W23" s="95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</row>
    <row r="24" spans="1:39" ht="19.5" customHeight="1" x14ac:dyDescent="0.35">
      <c r="A24" s="14"/>
      <c r="B24" s="17">
        <v>46211</v>
      </c>
      <c r="C24" s="18">
        <v>506</v>
      </c>
      <c r="D24" s="19" t="s">
        <v>35</v>
      </c>
      <c r="E24" s="23" t="s">
        <v>27</v>
      </c>
      <c r="F24" s="14"/>
      <c r="G24" s="24"/>
      <c r="H24" s="25"/>
      <c r="I24" s="26"/>
      <c r="J24" s="23"/>
      <c r="K24" s="14"/>
      <c r="L24" s="54"/>
      <c r="M24" s="110" t="s">
        <v>1</v>
      </c>
      <c r="N24" s="95"/>
      <c r="O24" s="55"/>
      <c r="P24" s="55"/>
      <c r="Q24" s="55"/>
      <c r="R24" s="56"/>
      <c r="S24" s="57" t="s">
        <v>2</v>
      </c>
      <c r="T24" s="58"/>
      <c r="U24" s="55"/>
      <c r="V24" s="55"/>
      <c r="W24" s="55"/>
      <c r="X24" s="5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</row>
    <row r="25" spans="1:39" ht="19.5" customHeight="1" x14ac:dyDescent="1.05">
      <c r="A25" s="14"/>
      <c r="B25" s="17">
        <v>46213</v>
      </c>
      <c r="C25" s="18">
        <v>942</v>
      </c>
      <c r="D25" s="19" t="s">
        <v>35</v>
      </c>
      <c r="E25" s="23" t="s">
        <v>27</v>
      </c>
      <c r="F25" s="14"/>
      <c r="G25" s="24"/>
      <c r="H25" s="25"/>
      <c r="I25" s="26"/>
      <c r="J25" s="23"/>
      <c r="K25" s="14"/>
      <c r="L25" s="59"/>
      <c r="M25" s="60"/>
      <c r="N25" s="61"/>
      <c r="O25" s="60" t="s">
        <v>36</v>
      </c>
      <c r="R25" s="62"/>
      <c r="S25" s="63"/>
      <c r="T25" s="64"/>
      <c r="U25" s="60" t="s">
        <v>36</v>
      </c>
      <c r="X25" s="59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</row>
    <row r="26" spans="1:39" ht="19.5" customHeight="1" x14ac:dyDescent="0.35">
      <c r="A26" s="14"/>
      <c r="B26" s="17">
        <v>46215</v>
      </c>
      <c r="C26" s="18">
        <v>610</v>
      </c>
      <c r="D26" s="19" t="s">
        <v>43</v>
      </c>
      <c r="E26" s="23" t="s">
        <v>27</v>
      </c>
      <c r="F26" s="14"/>
      <c r="G26" s="24"/>
      <c r="H26" s="25"/>
      <c r="I26" s="26"/>
      <c r="J26" s="23"/>
      <c r="K26" s="14"/>
      <c r="L26" s="65"/>
      <c r="M26" s="66" t="s">
        <v>44</v>
      </c>
      <c r="N26" s="66"/>
      <c r="O26" s="67">
        <f>SUM(O27:P117)</f>
        <v>315634</v>
      </c>
      <c r="R26" s="68"/>
      <c r="S26" s="69" t="s">
        <v>44</v>
      </c>
      <c r="T26" s="70"/>
      <c r="U26" s="67">
        <f>SUM(U27:U44)</f>
        <v>319000</v>
      </c>
      <c r="X26" s="65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</row>
    <row r="27" spans="1:39" ht="19.5" customHeight="1" x14ac:dyDescent="0.35">
      <c r="A27" s="14"/>
      <c r="B27" s="17">
        <v>46215</v>
      </c>
      <c r="C27" s="18">
        <f>270+120+200+100</f>
        <v>690</v>
      </c>
      <c r="D27" s="19" t="s">
        <v>45</v>
      </c>
      <c r="E27" s="23" t="s">
        <v>38</v>
      </c>
      <c r="F27" s="14"/>
      <c r="G27" s="24"/>
      <c r="H27" s="25"/>
      <c r="I27" s="26"/>
      <c r="J27" s="23"/>
      <c r="K27" s="14"/>
      <c r="L27" s="71"/>
      <c r="M27" s="111"/>
      <c r="N27" s="112"/>
      <c r="O27" s="72">
        <f>IF(ISBLANK($B29), "", SUMIF('07-26'!$E:$E,$B29,'07-26'!$C:$C))</f>
        <v>0</v>
      </c>
      <c r="R27" s="73"/>
      <c r="S27" s="102"/>
      <c r="T27" s="103"/>
      <c r="U27" s="72" t="str">
        <f>IF(ISBLANK($H27), "", SUMIF('07-26'!$J:$J,$H27,'07-26'!$H:$H))</f>
        <v/>
      </c>
      <c r="X27" s="71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</row>
    <row r="28" spans="1:39" ht="19.5" customHeight="1" x14ac:dyDescent="0.35">
      <c r="A28" s="14"/>
      <c r="B28" s="17">
        <v>46214</v>
      </c>
      <c r="C28" s="18">
        <v>175</v>
      </c>
      <c r="D28" s="19" t="s">
        <v>46</v>
      </c>
      <c r="E28" s="23" t="s">
        <v>25</v>
      </c>
      <c r="F28" s="14"/>
      <c r="G28" s="24"/>
      <c r="H28" s="25"/>
      <c r="I28" s="26"/>
      <c r="J28" s="23"/>
      <c r="K28" s="14"/>
      <c r="L28" s="71"/>
      <c r="M28" s="104" t="s">
        <v>27</v>
      </c>
      <c r="N28" s="105"/>
      <c r="O28" s="74">
        <f>IF(ISBLANK($M28), "", SUMIF('07-26'!$E:$E,$M28,'07-26'!$C:$C))</f>
        <v>4570</v>
      </c>
      <c r="R28" s="73"/>
      <c r="S28" s="104" t="s">
        <v>47</v>
      </c>
      <c r="T28" s="105"/>
      <c r="U28" s="74">
        <f>IF(ISBLANK($S28), "", SUMIF('07-26'!$J:$J,$S28,'07-26'!$H:$H))</f>
        <v>0</v>
      </c>
      <c r="X28" s="71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</row>
    <row r="29" spans="1:39" ht="19.5" customHeight="1" x14ac:dyDescent="0.35">
      <c r="A29" s="14"/>
      <c r="B29" s="17">
        <v>46215</v>
      </c>
      <c r="C29" s="18">
        <v>2000</v>
      </c>
      <c r="D29" s="19" t="s">
        <v>48</v>
      </c>
      <c r="E29" s="23" t="s">
        <v>49</v>
      </c>
      <c r="F29" s="14"/>
      <c r="G29" s="24"/>
      <c r="H29" s="25"/>
      <c r="I29" s="26"/>
      <c r="J29" s="23"/>
      <c r="K29" s="14"/>
      <c r="L29" s="71"/>
      <c r="M29" s="104" t="s">
        <v>50</v>
      </c>
      <c r="N29" s="105"/>
      <c r="O29" s="74">
        <f>IF(ISBLANK($M29), "", SUMIF('07-26'!$E:$E,$M29,'07-26'!$C:$C))</f>
        <v>0</v>
      </c>
      <c r="R29" s="73"/>
      <c r="S29" s="104" t="s">
        <v>11</v>
      </c>
      <c r="T29" s="105"/>
      <c r="U29" s="74">
        <f>IF(ISBLANK($S29), "", SUMIF('07-26'!$J:$J,$S29,'07-26'!$H:$H))</f>
        <v>319000</v>
      </c>
      <c r="X29" s="71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</row>
    <row r="30" spans="1:39" ht="19.5" customHeight="1" x14ac:dyDescent="0.35">
      <c r="A30" s="14"/>
      <c r="B30" s="17">
        <v>46213</v>
      </c>
      <c r="C30" s="18">
        <v>3083</v>
      </c>
      <c r="D30" s="19" t="s">
        <v>51</v>
      </c>
      <c r="E30" s="23" t="s">
        <v>38</v>
      </c>
      <c r="F30" s="14"/>
      <c r="G30" s="24"/>
      <c r="H30" s="25"/>
      <c r="I30" s="26"/>
      <c r="J30" s="23"/>
      <c r="K30" s="14"/>
      <c r="L30" s="14"/>
      <c r="M30" s="104" t="s">
        <v>52</v>
      </c>
      <c r="N30" s="105"/>
      <c r="O30" s="74">
        <f>IF(ISBLANK($M30), "", SUMIF('07-26'!$E:$E,$M30,'07-26'!$C:$C))</f>
        <v>0</v>
      </c>
      <c r="R30" s="75"/>
      <c r="S30" s="104" t="s">
        <v>53</v>
      </c>
      <c r="T30" s="105"/>
      <c r="U30" s="74">
        <f>IF(ISBLANK($S30), "", SUMIF('07-26'!$J:$J,$S30,'07-26'!$H:$H))</f>
        <v>0</v>
      </c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</row>
    <row r="31" spans="1:39" ht="19.5" customHeight="1" x14ac:dyDescent="0.35">
      <c r="A31" s="14"/>
      <c r="B31" s="17">
        <v>46218</v>
      </c>
      <c r="C31" s="18">
        <v>255</v>
      </c>
      <c r="D31" s="19" t="s">
        <v>54</v>
      </c>
      <c r="E31" s="23" t="s">
        <v>38</v>
      </c>
      <c r="F31" s="14"/>
      <c r="G31" s="24"/>
      <c r="H31" s="25"/>
      <c r="I31" s="26"/>
      <c r="J31" s="23"/>
      <c r="K31" s="14"/>
      <c r="L31" s="14"/>
      <c r="M31" s="104" t="s">
        <v>41</v>
      </c>
      <c r="N31" s="105"/>
      <c r="O31" s="74">
        <f>IF(ISBLANK($M31), "", SUMIF('07-26'!$E:$E,$M31,'07-26'!$C:$C))</f>
        <v>8839</v>
      </c>
      <c r="R31" s="75"/>
      <c r="S31" s="104" t="s">
        <v>55</v>
      </c>
      <c r="T31" s="105"/>
      <c r="U31" s="74">
        <f>IF(ISBLANK($S31), "", SUMIF('07-26'!$J:$J,$S31,'07-26'!$H:$H))</f>
        <v>0</v>
      </c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</row>
    <row r="32" spans="1:39" ht="19.5" customHeight="1" x14ac:dyDescent="0.35">
      <c r="A32" s="14"/>
      <c r="B32" s="17">
        <v>46218</v>
      </c>
      <c r="C32" s="18">
        <f>919+487</f>
        <v>1406</v>
      </c>
      <c r="D32" s="19" t="s">
        <v>26</v>
      </c>
      <c r="E32" s="23" t="s">
        <v>27</v>
      </c>
      <c r="F32" s="14"/>
      <c r="G32" s="24"/>
      <c r="H32" s="25"/>
      <c r="I32" s="26"/>
      <c r="J32" s="23"/>
      <c r="K32" s="14"/>
      <c r="L32" s="14"/>
      <c r="M32" s="104" t="s">
        <v>49</v>
      </c>
      <c r="N32" s="105"/>
      <c r="O32" s="74">
        <f>IF(ISBLANK($M32), "", SUMIF('07-26'!$E:$E,$M32,'07-26'!$C:$C))</f>
        <v>2070</v>
      </c>
      <c r="R32" s="75"/>
      <c r="S32" s="104" t="s">
        <v>56</v>
      </c>
      <c r="T32" s="105"/>
      <c r="U32" s="74">
        <f>IF(ISBLANK($S32), "", SUMIF('07-26'!$J:$J,$S32,'07-26'!$H:$H))</f>
        <v>0</v>
      </c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</row>
    <row r="33" spans="1:39" ht="19.5" customHeight="1" x14ac:dyDescent="0.35">
      <c r="A33" s="14"/>
      <c r="B33" s="17">
        <v>46218</v>
      </c>
      <c r="C33" s="18">
        <v>1500</v>
      </c>
      <c r="D33" s="19" t="s">
        <v>57</v>
      </c>
      <c r="E33" s="23" t="s">
        <v>25</v>
      </c>
      <c r="F33" s="14"/>
      <c r="G33" s="24"/>
      <c r="H33" s="25"/>
      <c r="I33" s="26"/>
      <c r="J33" s="23"/>
      <c r="K33" s="14"/>
      <c r="L33" s="14"/>
      <c r="M33" s="104" t="s">
        <v>25</v>
      </c>
      <c r="N33" s="105"/>
      <c r="O33" s="74">
        <f>IF(ISBLANK($M33), "", SUMIF('07-26'!$E:$E,$M33,'07-26'!$C:$C))</f>
        <v>12565</v>
      </c>
      <c r="R33" s="75"/>
      <c r="S33" s="104" t="s">
        <v>58</v>
      </c>
      <c r="T33" s="105"/>
      <c r="U33" s="74">
        <f>IF(ISBLANK($S33), "", SUMIF('07-26'!$J:$J,$S33,'07-26'!$H:$H))</f>
        <v>0</v>
      </c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</row>
    <row r="34" spans="1:39" ht="19.5" customHeight="1" x14ac:dyDescent="0.6">
      <c r="A34" s="14"/>
      <c r="B34" s="17">
        <v>46219</v>
      </c>
      <c r="C34" s="18">
        <v>3237</v>
      </c>
      <c r="D34" s="19" t="s">
        <v>59</v>
      </c>
      <c r="E34" s="23" t="s">
        <v>9</v>
      </c>
      <c r="F34" s="14"/>
      <c r="G34" s="24"/>
      <c r="H34" s="76"/>
      <c r="I34" s="77"/>
      <c r="J34" s="78"/>
      <c r="K34" s="14"/>
      <c r="L34" s="14"/>
      <c r="M34" s="104" t="s">
        <v>38</v>
      </c>
      <c r="N34" s="105"/>
      <c r="O34" s="74">
        <f>IF(ISBLANK($M34), "", SUMIF('07-26'!$E:$E,$M34,'07-26'!$C:$C))</f>
        <v>5455</v>
      </c>
      <c r="R34" s="79"/>
      <c r="S34" s="113"/>
      <c r="T34" s="105"/>
      <c r="U34" s="80"/>
      <c r="V34" s="72" t="str">
        <f>IF(ISBLANK($H34), "", SUMIF('07-26'!$J:$J,$H34,'07-26'!$H:$H))</f>
        <v/>
      </c>
      <c r="W34" s="81" t="str">
        <f t="shared" ref="W34:W41" si="0">IF(ISBLANK($H34), "", V34-U34)</f>
        <v/>
      </c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</row>
    <row r="35" spans="1:39" ht="19.5" customHeight="1" x14ac:dyDescent="0.6">
      <c r="A35" s="14"/>
      <c r="B35" s="17">
        <v>46219</v>
      </c>
      <c r="C35" s="18">
        <v>430</v>
      </c>
      <c r="D35" s="19" t="s">
        <v>60</v>
      </c>
      <c r="E35" s="23" t="s">
        <v>25</v>
      </c>
      <c r="F35" s="14"/>
      <c r="G35" s="24"/>
      <c r="H35" s="82"/>
      <c r="I35" s="83"/>
      <c r="J35" s="28"/>
      <c r="K35" s="14"/>
      <c r="L35" s="14"/>
      <c r="M35" s="104" t="s">
        <v>9</v>
      </c>
      <c r="N35" s="105"/>
      <c r="O35" s="74">
        <f>IF(ISBLANK($M35), "", SUMIF('07-26'!$E:$E,$M35,'07-26'!$C:$C))</f>
        <v>6531</v>
      </c>
      <c r="R35" s="75"/>
      <c r="S35" s="113"/>
      <c r="T35" s="105"/>
      <c r="U35" s="80"/>
      <c r="V35" s="72" t="str">
        <f>IF(ISBLANK($H35), "", SUMIF('07-26'!$J:$J,$H35,'07-26'!$H:$H))</f>
        <v/>
      </c>
      <c r="W35" s="81" t="str">
        <f t="shared" si="0"/>
        <v/>
      </c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</row>
    <row r="36" spans="1:39" ht="19.5" customHeight="1" x14ac:dyDescent="0.6">
      <c r="A36" s="14"/>
      <c r="B36" s="17">
        <v>46221</v>
      </c>
      <c r="C36" s="18">
        <v>70</v>
      </c>
      <c r="D36" s="19" t="s">
        <v>61</v>
      </c>
      <c r="E36" s="23" t="s">
        <v>49</v>
      </c>
      <c r="F36" s="14"/>
      <c r="G36" s="24"/>
      <c r="H36" s="82"/>
      <c r="I36" s="83"/>
      <c r="J36" s="28"/>
      <c r="K36" s="14"/>
      <c r="L36" s="14"/>
      <c r="M36" s="104" t="s">
        <v>29</v>
      </c>
      <c r="N36" s="105"/>
      <c r="O36" s="74">
        <f>IF(ISBLANK($M36), "", SUMIF('07-26'!$E:$E,$M36,'07-26'!$C:$C))</f>
        <v>2543</v>
      </c>
      <c r="R36" s="75"/>
      <c r="S36" s="113"/>
      <c r="T36" s="105"/>
      <c r="U36" s="80"/>
      <c r="V36" s="72" t="str">
        <f>IF(ISBLANK($H36), "", SUMIF('07-26'!$J:$J,$H36,'07-26'!$H:$H))</f>
        <v/>
      </c>
      <c r="W36" s="81" t="str">
        <f t="shared" si="0"/>
        <v/>
      </c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</row>
    <row r="37" spans="1:39" ht="19.5" customHeight="1" x14ac:dyDescent="0.6">
      <c r="A37" s="14"/>
      <c r="B37" s="17">
        <v>46217</v>
      </c>
      <c r="C37" s="18">
        <v>0</v>
      </c>
      <c r="D37" s="19"/>
      <c r="E37" s="23" t="s">
        <v>27</v>
      </c>
      <c r="F37" s="14"/>
      <c r="G37" s="24"/>
      <c r="H37" s="82"/>
      <c r="I37" s="83"/>
      <c r="J37" s="28"/>
      <c r="K37" s="14"/>
      <c r="L37" s="14"/>
      <c r="M37" s="104" t="s">
        <v>62</v>
      </c>
      <c r="N37" s="105"/>
      <c r="O37" s="74">
        <f>IF(ISBLANK($M37), "", SUMIF('07-26'!$E:$E,$M37,'07-26'!$C:$C))</f>
        <v>0</v>
      </c>
      <c r="R37" s="75"/>
      <c r="S37" s="113"/>
      <c r="T37" s="105"/>
      <c r="U37" s="80"/>
      <c r="V37" s="72" t="str">
        <f>IF(ISBLANK($H37), "", SUMIF('07-26'!$J:$J,$H37,'07-26'!$H:$H))</f>
        <v/>
      </c>
      <c r="W37" s="81" t="str">
        <f t="shared" si="0"/>
        <v/>
      </c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</row>
    <row r="38" spans="1:39" ht="19.5" customHeight="1" x14ac:dyDescent="0.6">
      <c r="A38" s="14"/>
      <c r="B38" s="17">
        <v>46217</v>
      </c>
      <c r="C38" s="18">
        <v>0</v>
      </c>
      <c r="D38" s="19"/>
      <c r="E38" s="23" t="s">
        <v>38</v>
      </c>
      <c r="F38" s="14"/>
      <c r="G38" s="24"/>
      <c r="H38" s="82"/>
      <c r="I38" s="83"/>
      <c r="J38" s="28"/>
      <c r="K38" s="14"/>
      <c r="L38" s="14"/>
      <c r="M38" s="104" t="s">
        <v>19</v>
      </c>
      <c r="N38" s="105"/>
      <c r="O38" s="74">
        <f>IF(ISBLANK($M38), "", SUMIF('07-26'!$E:$E,$M38,'07-26'!$C:$C))</f>
        <v>22811</v>
      </c>
      <c r="R38" s="75"/>
      <c r="S38" s="113"/>
      <c r="T38" s="105"/>
      <c r="U38" s="80"/>
      <c r="V38" s="72" t="str">
        <f>IF(ISBLANK($H38), "", SUMIF('07-26'!$J:$J,$H38,'07-26'!$H:$H))</f>
        <v/>
      </c>
      <c r="W38" s="81" t="str">
        <f t="shared" si="0"/>
        <v/>
      </c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</row>
    <row r="39" spans="1:39" ht="19.5" customHeight="1" x14ac:dyDescent="0.6">
      <c r="A39" s="14"/>
      <c r="B39" s="17">
        <v>46219</v>
      </c>
      <c r="C39" s="18">
        <v>0</v>
      </c>
      <c r="D39" s="19"/>
      <c r="E39" s="23" t="s">
        <v>41</v>
      </c>
      <c r="F39" s="14"/>
      <c r="G39" s="24"/>
      <c r="H39" s="82"/>
      <c r="I39" s="83"/>
      <c r="J39" s="28"/>
      <c r="K39" s="14"/>
      <c r="L39" s="14"/>
      <c r="M39" s="104" t="s">
        <v>16</v>
      </c>
      <c r="N39" s="105"/>
      <c r="O39" s="74">
        <f>IF(ISBLANK($M39), "", SUMIF('07-26'!$E:$E,$M39,'07-26'!$C:$C))</f>
        <v>279</v>
      </c>
      <c r="R39" s="75"/>
      <c r="S39" s="113"/>
      <c r="T39" s="105"/>
      <c r="U39" s="80"/>
      <c r="V39" s="72" t="str">
        <f>IF(ISBLANK($H39), "", SUMIF('07-26'!$J:$J,$H39,'07-26'!$H:$H))</f>
        <v/>
      </c>
      <c r="W39" s="81" t="str">
        <f t="shared" si="0"/>
        <v/>
      </c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</row>
    <row r="40" spans="1:39" ht="19.5" customHeight="1" x14ac:dyDescent="0.6">
      <c r="A40" s="14"/>
      <c r="B40" s="17">
        <v>46225</v>
      </c>
      <c r="C40" s="18">
        <v>0</v>
      </c>
      <c r="D40" s="19"/>
      <c r="E40" s="23" t="s">
        <v>29</v>
      </c>
      <c r="F40" s="14"/>
      <c r="G40" s="24"/>
      <c r="H40" s="82"/>
      <c r="I40" s="83"/>
      <c r="J40" s="28"/>
      <c r="K40" s="14"/>
      <c r="L40" s="14"/>
      <c r="M40" s="104" t="s">
        <v>13</v>
      </c>
      <c r="N40" s="105"/>
      <c r="O40" s="74">
        <f>IF(ISBLANK($M40), "", SUMIF('07-26'!$E:$E,$M40,'07-26'!$C:$C))</f>
        <v>60971</v>
      </c>
      <c r="R40" s="75"/>
      <c r="S40" s="113"/>
      <c r="T40" s="105"/>
      <c r="U40" s="80"/>
      <c r="V40" s="72" t="str">
        <f>IF(ISBLANK($H40), "", SUMIF('07-26'!$J:$J,$H40,'07-26'!$H:$H))</f>
        <v/>
      </c>
      <c r="W40" s="81" t="str">
        <f t="shared" si="0"/>
        <v/>
      </c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</row>
    <row r="41" spans="1:39" ht="19.5" customHeight="1" x14ac:dyDescent="0.6">
      <c r="A41" s="14"/>
      <c r="B41" s="17">
        <v>46225</v>
      </c>
      <c r="C41" s="18">
        <v>0</v>
      </c>
      <c r="D41" s="19"/>
      <c r="E41" s="23" t="s">
        <v>29</v>
      </c>
      <c r="F41" s="14"/>
      <c r="G41" s="24"/>
      <c r="H41" s="82"/>
      <c r="I41" s="83"/>
      <c r="J41" s="28"/>
      <c r="K41" s="14"/>
      <c r="L41" s="14"/>
      <c r="M41" s="104" t="s">
        <v>21</v>
      </c>
      <c r="N41" s="105"/>
      <c r="O41" s="74">
        <f>IF(ISBLANK($M41), "", SUMIF('07-26'!$E:$E,$M41,'07-26'!$C:$C))</f>
        <v>189000</v>
      </c>
      <c r="R41" s="75"/>
      <c r="S41" s="113"/>
      <c r="T41" s="105"/>
      <c r="U41" s="80"/>
      <c r="V41" s="72" t="str">
        <f>IF(ISBLANK($H41), "", SUMIF('07-26'!$J:$J,$H41,'07-26'!$H:$H))</f>
        <v/>
      </c>
      <c r="W41" s="81" t="str">
        <f t="shared" si="0"/>
        <v/>
      </c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</row>
    <row r="42" spans="1:39" ht="19.5" customHeight="1" x14ac:dyDescent="0.6">
      <c r="A42" s="14"/>
      <c r="B42" s="17">
        <v>46225</v>
      </c>
      <c r="C42" s="18">
        <v>0</v>
      </c>
      <c r="D42" s="19"/>
      <c r="E42" s="23" t="s">
        <v>29</v>
      </c>
      <c r="F42" s="14"/>
      <c r="G42" s="24"/>
      <c r="H42" s="82"/>
      <c r="I42" s="83"/>
      <c r="J42" s="28"/>
      <c r="K42" s="14"/>
      <c r="L42" s="14"/>
      <c r="M42" s="104" t="s">
        <v>63</v>
      </c>
      <c r="N42" s="105"/>
      <c r="O42" s="74">
        <f>IF(ISBLANK($M42), "", SUMIF('07-26'!$E:$E,$M42,'07-26'!$C:$C))</f>
        <v>0</v>
      </c>
      <c r="P42" s="72"/>
      <c r="Q42" s="81"/>
      <c r="R42" s="75"/>
      <c r="S42" s="84"/>
      <c r="T42" s="84"/>
      <c r="U42" s="80"/>
      <c r="V42" s="72"/>
      <c r="W42" s="81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</row>
    <row r="43" spans="1:39" ht="19.5" customHeight="1" x14ac:dyDescent="0.6">
      <c r="A43" s="14"/>
      <c r="B43" s="17">
        <v>46221</v>
      </c>
      <c r="C43" s="18">
        <v>0</v>
      </c>
      <c r="D43" s="19"/>
      <c r="E43" s="23" t="s">
        <v>38</v>
      </c>
      <c r="F43" s="14"/>
      <c r="G43" s="24"/>
      <c r="H43" s="82"/>
      <c r="I43" s="83"/>
      <c r="J43" s="28"/>
      <c r="K43" s="14"/>
      <c r="L43" s="14"/>
      <c r="M43" s="104" t="s">
        <v>64</v>
      </c>
      <c r="N43" s="105"/>
      <c r="O43" s="74">
        <f>IF(ISBLANK($M43), "", SUMIF('07-26'!$E:$E,$M43,'07-26'!$C:$C))</f>
        <v>0</v>
      </c>
      <c r="P43" s="72"/>
      <c r="Q43" s="81"/>
      <c r="R43" s="75"/>
      <c r="S43" s="84"/>
      <c r="T43" s="84"/>
      <c r="U43" s="80"/>
      <c r="V43" s="72"/>
      <c r="W43" s="81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</row>
    <row r="44" spans="1:39" ht="19.5" customHeight="1" x14ac:dyDescent="0.6">
      <c r="A44" s="14"/>
      <c r="B44" s="17">
        <v>46222</v>
      </c>
      <c r="C44" s="18">
        <v>0</v>
      </c>
      <c r="D44" s="19"/>
      <c r="E44" s="23" t="s">
        <v>64</v>
      </c>
      <c r="F44" s="14"/>
      <c r="G44" s="24"/>
      <c r="H44" s="82"/>
      <c r="I44" s="83"/>
      <c r="J44" s="28"/>
      <c r="K44" s="14"/>
      <c r="L44" s="14"/>
      <c r="M44" s="104"/>
      <c r="N44" s="105"/>
      <c r="O44" s="85"/>
      <c r="P44" s="72"/>
      <c r="Q44" s="81"/>
      <c r="R44" s="75"/>
      <c r="S44" s="113"/>
      <c r="T44" s="105"/>
      <c r="U44" s="80"/>
      <c r="V44" s="72" t="str">
        <f>IF(ISBLANK($H44), "", SUMIF('07-26'!$J:$J,$H44,'07-26'!$H:$H))</f>
        <v/>
      </c>
      <c r="W44" s="81" t="str">
        <f>IF(ISBLANK($H44), "", V44-U44)</f>
        <v/>
      </c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</row>
    <row r="45" spans="1:39" ht="19.5" customHeight="1" x14ac:dyDescent="0.35">
      <c r="A45" s="14"/>
      <c r="B45" s="17">
        <v>46223</v>
      </c>
      <c r="C45" s="18">
        <v>0</v>
      </c>
      <c r="D45" s="19"/>
      <c r="E45" s="23" t="s">
        <v>27</v>
      </c>
      <c r="F45" s="14"/>
      <c r="G45" s="24"/>
      <c r="H45" s="82"/>
      <c r="I45" s="83"/>
      <c r="J45" s="28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</row>
    <row r="46" spans="1:39" ht="19.5" customHeight="1" x14ac:dyDescent="0.35">
      <c r="A46" s="14"/>
      <c r="B46" s="86">
        <v>46232</v>
      </c>
      <c r="C46" s="18">
        <v>0</v>
      </c>
      <c r="D46" s="19"/>
      <c r="E46" s="23" t="s">
        <v>38</v>
      </c>
      <c r="F46" s="14"/>
      <c r="G46" s="24"/>
      <c r="H46" s="82"/>
      <c r="I46" s="83"/>
      <c r="J46" s="28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</row>
    <row r="47" spans="1:39" ht="19.5" customHeight="1" x14ac:dyDescent="0.35">
      <c r="A47" s="14"/>
      <c r="B47" s="86">
        <v>46224</v>
      </c>
      <c r="C47" s="18">
        <v>0</v>
      </c>
      <c r="D47" s="19"/>
      <c r="E47" s="23" t="s">
        <v>38</v>
      </c>
      <c r="F47" s="14"/>
      <c r="G47" s="24"/>
      <c r="H47" s="82"/>
      <c r="I47" s="83"/>
      <c r="J47" s="28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</row>
    <row r="48" spans="1:39" ht="19.5" customHeight="1" x14ac:dyDescent="0.35">
      <c r="A48" s="14"/>
      <c r="B48" s="86">
        <v>46224</v>
      </c>
      <c r="C48" s="18">
        <v>0</v>
      </c>
      <c r="D48" s="19"/>
      <c r="E48" s="23" t="s">
        <v>38</v>
      </c>
      <c r="F48" s="14"/>
      <c r="G48" s="24"/>
      <c r="H48" s="82"/>
      <c r="I48" s="83"/>
      <c r="J48" s="28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</row>
    <row r="49" spans="1:39" ht="19.5" customHeight="1" x14ac:dyDescent="0.35">
      <c r="A49" s="14"/>
      <c r="B49" s="86">
        <v>46224</v>
      </c>
      <c r="C49" s="18">
        <v>0</v>
      </c>
      <c r="D49" s="19"/>
      <c r="E49" s="23" t="s">
        <v>25</v>
      </c>
      <c r="F49" s="14"/>
      <c r="G49" s="24"/>
      <c r="H49" s="82"/>
      <c r="I49" s="83"/>
      <c r="J49" s="28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</row>
    <row r="50" spans="1:39" ht="19.5" customHeight="1" x14ac:dyDescent="0.35">
      <c r="A50" s="14"/>
      <c r="B50" s="86">
        <v>46224</v>
      </c>
      <c r="C50" s="18">
        <v>0</v>
      </c>
      <c r="D50" s="19"/>
      <c r="E50" s="23" t="s">
        <v>38</v>
      </c>
      <c r="F50" s="14"/>
      <c r="G50" s="24"/>
      <c r="H50" s="82"/>
      <c r="I50" s="83"/>
      <c r="J50" s="28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</row>
    <row r="51" spans="1:39" ht="19.5" customHeight="1" x14ac:dyDescent="0.35">
      <c r="A51" s="14"/>
      <c r="B51" s="86">
        <v>46223</v>
      </c>
      <c r="C51" s="18">
        <v>0</v>
      </c>
      <c r="D51" s="19"/>
      <c r="E51" s="23" t="s">
        <v>25</v>
      </c>
      <c r="F51" s="14"/>
      <c r="G51" s="24"/>
      <c r="H51" s="82"/>
      <c r="I51" s="83"/>
      <c r="J51" s="28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</row>
    <row r="52" spans="1:39" ht="19.5" customHeight="1" x14ac:dyDescent="0.35">
      <c r="A52" s="14"/>
      <c r="B52" s="86">
        <v>46229</v>
      </c>
      <c r="C52" s="18">
        <v>0</v>
      </c>
      <c r="D52" s="19"/>
      <c r="E52" s="23" t="s">
        <v>27</v>
      </c>
      <c r="F52" s="14"/>
      <c r="G52" s="24"/>
      <c r="H52" s="82"/>
      <c r="I52" s="83"/>
      <c r="J52" s="28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</row>
    <row r="53" spans="1:39" ht="19.5" customHeight="1" x14ac:dyDescent="0.35">
      <c r="A53" s="14"/>
      <c r="B53" s="17">
        <v>46228</v>
      </c>
      <c r="C53" s="18">
        <v>0</v>
      </c>
      <c r="D53" s="19"/>
      <c r="E53" s="23" t="s">
        <v>25</v>
      </c>
      <c r="F53" s="14"/>
      <c r="G53" s="24"/>
      <c r="H53" s="82"/>
      <c r="I53" s="83"/>
      <c r="J53" s="28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</row>
    <row r="54" spans="1:39" ht="19.5" customHeight="1" x14ac:dyDescent="0.35">
      <c r="A54" s="14"/>
      <c r="B54" s="17">
        <v>46229</v>
      </c>
      <c r="C54" s="18">
        <v>0</v>
      </c>
      <c r="D54" s="19"/>
      <c r="E54" s="23" t="s">
        <v>25</v>
      </c>
      <c r="F54" s="14"/>
      <c r="G54" s="24"/>
      <c r="H54" s="82"/>
      <c r="I54" s="83"/>
      <c r="J54" s="28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</row>
    <row r="55" spans="1:39" ht="19.5" customHeight="1" x14ac:dyDescent="0.35">
      <c r="A55" s="14"/>
      <c r="B55" s="17">
        <v>46229</v>
      </c>
      <c r="C55" s="18">
        <v>0</v>
      </c>
      <c r="D55" s="19"/>
      <c r="E55" s="23" t="s">
        <v>9</v>
      </c>
      <c r="F55" s="14"/>
      <c r="G55" s="24"/>
      <c r="H55" s="82"/>
      <c r="I55" s="83"/>
      <c r="J55" s="28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</row>
    <row r="56" spans="1:39" ht="19.5" customHeight="1" x14ac:dyDescent="0.35">
      <c r="A56" s="14"/>
      <c r="B56" s="17">
        <v>46231</v>
      </c>
      <c r="C56" s="18">
        <v>0</v>
      </c>
      <c r="D56" s="19"/>
      <c r="E56" s="23" t="s">
        <v>38</v>
      </c>
      <c r="F56" s="14"/>
      <c r="G56" s="24"/>
      <c r="H56" s="82"/>
      <c r="I56" s="83"/>
      <c r="J56" s="28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</row>
    <row r="57" spans="1:39" ht="19.5" customHeight="1" x14ac:dyDescent="0.35">
      <c r="A57" s="14"/>
      <c r="B57" s="17"/>
      <c r="C57" s="18"/>
      <c r="D57" s="19"/>
      <c r="E57" s="23"/>
      <c r="F57" s="14"/>
      <c r="G57" s="24"/>
      <c r="H57" s="82"/>
      <c r="I57" s="83"/>
      <c r="J57" s="28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</row>
    <row r="58" spans="1:39" ht="19.5" customHeight="1" x14ac:dyDescent="0.35">
      <c r="A58" s="14"/>
      <c r="B58" s="17"/>
      <c r="C58" s="18"/>
      <c r="D58" s="19"/>
      <c r="E58" s="23"/>
      <c r="F58" s="14"/>
      <c r="G58" s="87"/>
      <c r="H58" s="82"/>
      <c r="I58" s="83"/>
      <c r="J58" s="28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</row>
    <row r="59" spans="1:39" ht="19.5" customHeight="1" x14ac:dyDescent="0.35">
      <c r="A59" s="14"/>
      <c r="B59" s="17"/>
      <c r="C59" s="18"/>
      <c r="D59" s="19"/>
      <c r="E59" s="23"/>
      <c r="F59" s="14"/>
      <c r="G59" s="87"/>
      <c r="H59" s="82"/>
      <c r="I59" s="83"/>
      <c r="J59" s="28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</row>
    <row r="60" spans="1:39" ht="19.5" customHeight="1" x14ac:dyDescent="0.35">
      <c r="A60" s="14"/>
      <c r="B60" s="17"/>
      <c r="C60" s="18"/>
      <c r="D60" s="19"/>
      <c r="E60" s="23"/>
      <c r="F60" s="14"/>
      <c r="G60" s="87"/>
      <c r="H60" s="82"/>
      <c r="I60" s="83"/>
      <c r="J60" s="28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</row>
    <row r="61" spans="1:39" ht="19.5" customHeight="1" x14ac:dyDescent="0.35">
      <c r="A61" s="14"/>
      <c r="B61" s="17"/>
      <c r="C61" s="18"/>
      <c r="D61" s="19"/>
      <c r="E61" s="23"/>
      <c r="F61" s="14"/>
      <c r="G61" s="87"/>
      <c r="H61" s="82"/>
      <c r="I61" s="83"/>
      <c r="J61" s="28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</row>
    <row r="62" spans="1:39" ht="19.5" customHeight="1" x14ac:dyDescent="0.35">
      <c r="A62" s="14"/>
      <c r="B62" s="17"/>
      <c r="C62" s="18"/>
      <c r="D62" s="19"/>
      <c r="E62" s="23"/>
      <c r="F62" s="14"/>
      <c r="G62" s="87"/>
      <c r="H62" s="82"/>
      <c r="I62" s="83"/>
      <c r="J62" s="28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</row>
    <row r="63" spans="1:39" ht="19.5" customHeight="1" x14ac:dyDescent="0.35">
      <c r="A63" s="14"/>
      <c r="B63" s="17"/>
      <c r="C63" s="18"/>
      <c r="D63" s="19"/>
      <c r="E63" s="23"/>
      <c r="F63" s="14"/>
      <c r="G63" s="87"/>
      <c r="H63" s="82"/>
      <c r="I63" s="83"/>
      <c r="J63" s="28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</row>
    <row r="64" spans="1:39" ht="19.5" customHeight="1" x14ac:dyDescent="0.35">
      <c r="A64" s="14"/>
      <c r="B64" s="17"/>
      <c r="C64" s="18"/>
      <c r="D64" s="19"/>
      <c r="E64" s="23"/>
      <c r="F64" s="14"/>
      <c r="G64" s="87"/>
      <c r="H64" s="82"/>
      <c r="I64" s="83"/>
      <c r="J64" s="28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</row>
    <row r="65" spans="1:39" ht="19.5" customHeight="1" x14ac:dyDescent="0.35">
      <c r="A65" s="14"/>
      <c r="B65" s="17"/>
      <c r="C65" s="18"/>
      <c r="D65" s="19"/>
      <c r="E65" s="23"/>
      <c r="F65" s="14"/>
      <c r="G65" s="87"/>
      <c r="H65" s="82"/>
      <c r="I65" s="83"/>
      <c r="J65" s="28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</row>
    <row r="66" spans="1:39" ht="19.5" customHeight="1" x14ac:dyDescent="0.35">
      <c r="A66" s="14"/>
      <c r="B66" s="17"/>
      <c r="C66" s="18"/>
      <c r="D66" s="19"/>
      <c r="E66" s="23"/>
      <c r="F66" s="14"/>
      <c r="G66" s="87"/>
      <c r="H66" s="82"/>
      <c r="I66" s="83"/>
      <c r="J66" s="28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</row>
    <row r="67" spans="1:39" ht="19.5" customHeight="1" x14ac:dyDescent="0.35">
      <c r="A67" s="14"/>
      <c r="B67" s="17"/>
      <c r="C67" s="18"/>
      <c r="D67" s="19"/>
      <c r="E67" s="23"/>
      <c r="F67" s="14"/>
      <c r="G67" s="87"/>
      <c r="H67" s="82"/>
      <c r="I67" s="83"/>
      <c r="J67" s="28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</row>
    <row r="68" spans="1:39" ht="19.5" customHeight="1" x14ac:dyDescent="0.35">
      <c r="A68" s="14"/>
      <c r="B68" s="17"/>
      <c r="C68" s="18"/>
      <c r="D68" s="19"/>
      <c r="E68" s="23"/>
      <c r="F68" s="14"/>
      <c r="G68" s="87"/>
      <c r="H68" s="82"/>
      <c r="I68" s="83"/>
      <c r="J68" s="28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</row>
    <row r="69" spans="1:39" ht="19.5" customHeight="1" x14ac:dyDescent="0.35">
      <c r="A69" s="14"/>
      <c r="B69" s="17"/>
      <c r="C69" s="18"/>
      <c r="D69" s="19"/>
      <c r="E69" s="23"/>
      <c r="F69" s="14"/>
      <c r="G69" s="87"/>
      <c r="H69" s="82"/>
      <c r="I69" s="83"/>
      <c r="J69" s="28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</row>
    <row r="70" spans="1:39" ht="19.5" customHeight="1" x14ac:dyDescent="0.35">
      <c r="A70" s="14"/>
      <c r="B70" s="17"/>
      <c r="C70" s="18"/>
      <c r="D70" s="19"/>
      <c r="E70" s="23"/>
      <c r="F70" s="14"/>
      <c r="G70" s="87"/>
      <c r="H70" s="82"/>
      <c r="I70" s="83"/>
      <c r="J70" s="28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</row>
    <row r="71" spans="1:39" ht="19.5" customHeight="1" x14ac:dyDescent="0.35">
      <c r="A71" s="14"/>
      <c r="B71" s="17"/>
      <c r="C71" s="18"/>
      <c r="D71" s="19"/>
      <c r="E71" s="23"/>
      <c r="F71" s="14"/>
      <c r="G71" s="87"/>
      <c r="H71" s="82"/>
      <c r="I71" s="83"/>
      <c r="J71" s="28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</row>
    <row r="72" spans="1:39" ht="19.5" customHeight="1" x14ac:dyDescent="0.35">
      <c r="A72" s="14"/>
      <c r="B72" s="17"/>
      <c r="C72" s="18"/>
      <c r="D72" s="19"/>
      <c r="E72" s="23"/>
      <c r="F72" s="14"/>
      <c r="G72" s="87"/>
      <c r="H72" s="82"/>
      <c r="I72" s="83"/>
      <c r="J72" s="28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</row>
    <row r="73" spans="1:39" ht="19.5" customHeight="1" x14ac:dyDescent="0.35">
      <c r="A73" s="14"/>
      <c r="B73" s="17"/>
      <c r="C73" s="18"/>
      <c r="D73" s="19"/>
      <c r="E73" s="23"/>
      <c r="F73" s="14"/>
      <c r="G73" s="87"/>
      <c r="H73" s="82"/>
      <c r="I73" s="83"/>
      <c r="J73" s="28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</row>
    <row r="74" spans="1:39" ht="19.5" customHeight="1" x14ac:dyDescent="0.35">
      <c r="A74" s="14"/>
      <c r="B74" s="17"/>
      <c r="C74" s="18"/>
      <c r="D74" s="19"/>
      <c r="E74" s="23"/>
      <c r="F74" s="14"/>
      <c r="G74" s="87"/>
      <c r="H74" s="82"/>
      <c r="I74" s="83"/>
      <c r="J74" s="28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</row>
    <row r="75" spans="1:39" ht="19.5" customHeight="1" x14ac:dyDescent="0.35">
      <c r="A75" s="14"/>
      <c r="B75" s="17"/>
      <c r="C75" s="18"/>
      <c r="D75" s="19"/>
      <c r="E75" s="23"/>
      <c r="F75" s="14"/>
      <c r="G75" s="87"/>
      <c r="H75" s="82"/>
      <c r="I75" s="83"/>
      <c r="J75" s="28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</row>
    <row r="76" spans="1:39" ht="19.5" customHeight="1" x14ac:dyDescent="0.35">
      <c r="A76" s="14"/>
      <c r="B76" s="17"/>
      <c r="C76" s="18"/>
      <c r="D76" s="19"/>
      <c r="E76" s="23"/>
      <c r="F76" s="14"/>
      <c r="G76" s="87"/>
      <c r="H76" s="82"/>
      <c r="I76" s="83"/>
      <c r="J76" s="28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</row>
    <row r="77" spans="1:39" ht="19.5" customHeight="1" x14ac:dyDescent="0.35">
      <c r="A77" s="14"/>
      <c r="B77" s="17"/>
      <c r="C77" s="18"/>
      <c r="D77" s="19"/>
      <c r="E77" s="23"/>
      <c r="F77" s="14"/>
      <c r="G77" s="87"/>
      <c r="H77" s="82"/>
      <c r="I77" s="83"/>
      <c r="J77" s="28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</row>
    <row r="78" spans="1:39" ht="19.5" customHeight="1" x14ac:dyDescent="0.35">
      <c r="A78" s="14"/>
      <c r="B78" s="17"/>
      <c r="C78" s="18"/>
      <c r="D78" s="88"/>
      <c r="E78" s="28"/>
      <c r="F78" s="14"/>
      <c r="G78" s="87"/>
      <c r="H78" s="82"/>
      <c r="I78" s="83"/>
      <c r="J78" s="28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</row>
    <row r="79" spans="1:39" ht="19.5" customHeight="1" x14ac:dyDescent="0.35">
      <c r="A79" s="14"/>
      <c r="B79" s="17"/>
      <c r="C79" s="18"/>
      <c r="D79" s="88"/>
      <c r="E79" s="28"/>
      <c r="F79" s="14"/>
      <c r="G79" s="87"/>
      <c r="H79" s="82"/>
      <c r="I79" s="83"/>
      <c r="J79" s="28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</row>
    <row r="80" spans="1:39" ht="19.5" customHeight="1" x14ac:dyDescent="0.35">
      <c r="A80" s="14"/>
      <c r="B80" s="17"/>
      <c r="C80" s="18"/>
      <c r="D80" s="88"/>
      <c r="E80" s="28"/>
      <c r="F80" s="14"/>
      <c r="G80" s="87"/>
      <c r="H80" s="82"/>
      <c r="I80" s="83"/>
      <c r="J80" s="28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</row>
    <row r="81" spans="1:39" ht="19.5" customHeight="1" x14ac:dyDescent="0.35">
      <c r="A81" s="14"/>
      <c r="B81" s="17"/>
      <c r="C81" s="18"/>
      <c r="D81" s="88"/>
      <c r="E81" s="28"/>
      <c r="F81" s="14"/>
      <c r="G81" s="87"/>
      <c r="H81" s="82"/>
      <c r="I81" s="83"/>
      <c r="J81" s="28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</row>
    <row r="82" spans="1:39" ht="19.5" customHeight="1" x14ac:dyDescent="0.35">
      <c r="A82" s="14"/>
      <c r="B82" s="89"/>
      <c r="C82" s="18"/>
      <c r="D82" s="88"/>
      <c r="E82" s="28"/>
      <c r="F82" s="14"/>
      <c r="G82" s="87"/>
      <c r="H82" s="82"/>
      <c r="I82" s="83"/>
      <c r="J82" s="28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</row>
    <row r="83" spans="1:39" ht="19.5" customHeight="1" x14ac:dyDescent="0.35">
      <c r="A83" s="14"/>
      <c r="B83" s="89"/>
      <c r="C83" s="18"/>
      <c r="D83" s="88"/>
      <c r="E83" s="28"/>
      <c r="F83" s="14"/>
      <c r="G83" s="87"/>
      <c r="H83" s="82"/>
      <c r="I83" s="83"/>
      <c r="J83" s="28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</row>
    <row r="84" spans="1:39" ht="19.5" customHeight="1" x14ac:dyDescent="0.35">
      <c r="A84" s="14"/>
      <c r="B84" s="89"/>
      <c r="C84" s="18"/>
      <c r="D84" s="88"/>
      <c r="E84" s="28"/>
      <c r="F84" s="14"/>
      <c r="G84" s="87"/>
      <c r="H84" s="82"/>
      <c r="I84" s="83"/>
      <c r="J84" s="28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</row>
    <row r="85" spans="1:39" ht="19.5" customHeight="1" x14ac:dyDescent="0.35">
      <c r="A85" s="14"/>
      <c r="B85" s="89"/>
      <c r="C85" s="18"/>
      <c r="D85" s="88"/>
      <c r="E85" s="28"/>
      <c r="F85" s="14"/>
      <c r="G85" s="87"/>
      <c r="H85" s="82"/>
      <c r="I85" s="83"/>
      <c r="J85" s="28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</row>
    <row r="86" spans="1:39" ht="19.5" customHeight="1" x14ac:dyDescent="0.35">
      <c r="A86" s="14"/>
      <c r="B86" s="89"/>
      <c r="C86" s="18"/>
      <c r="D86" s="88"/>
      <c r="E86" s="28"/>
      <c r="F86" s="14"/>
      <c r="G86" s="87"/>
      <c r="H86" s="82"/>
      <c r="I86" s="83"/>
      <c r="J86" s="28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</row>
    <row r="87" spans="1:39" ht="19.5" customHeight="1" x14ac:dyDescent="0.35">
      <c r="A87" s="14"/>
      <c r="B87" s="89"/>
      <c r="C87" s="18"/>
      <c r="D87" s="88"/>
      <c r="E87" s="28"/>
      <c r="F87" s="14"/>
      <c r="G87" s="87"/>
      <c r="H87" s="82"/>
      <c r="I87" s="83"/>
      <c r="J87" s="28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</row>
    <row r="88" spans="1:39" ht="19.5" customHeight="1" x14ac:dyDescent="0.35">
      <c r="A88" s="14"/>
      <c r="B88" s="89"/>
      <c r="C88" s="18"/>
      <c r="D88" s="88"/>
      <c r="E88" s="28"/>
      <c r="F88" s="14"/>
      <c r="G88" s="87"/>
      <c r="H88" s="82"/>
      <c r="I88" s="83"/>
      <c r="J88" s="28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</row>
    <row r="89" spans="1:39" ht="19.5" customHeight="1" x14ac:dyDescent="0.35">
      <c r="A89" s="14"/>
      <c r="B89" s="89"/>
      <c r="C89" s="18"/>
      <c r="D89" s="88"/>
      <c r="E89" s="28"/>
      <c r="F89" s="14"/>
      <c r="G89" s="87"/>
      <c r="H89" s="82"/>
      <c r="I89" s="83"/>
      <c r="J89" s="28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</row>
    <row r="90" spans="1:39" ht="19.5" customHeight="1" x14ac:dyDescent="0.35">
      <c r="A90" s="14"/>
      <c r="B90" s="89"/>
      <c r="C90" s="18"/>
      <c r="D90" s="88"/>
      <c r="E90" s="28"/>
      <c r="F90" s="14"/>
      <c r="G90" s="87"/>
      <c r="H90" s="82"/>
      <c r="I90" s="83"/>
      <c r="J90" s="28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</row>
    <row r="91" spans="1:39" ht="19.5" customHeight="1" x14ac:dyDescent="0.35">
      <c r="A91" s="14"/>
      <c r="B91" s="89"/>
      <c r="C91" s="18"/>
      <c r="D91" s="88"/>
      <c r="E91" s="28"/>
      <c r="F91" s="14"/>
      <c r="G91" s="87"/>
      <c r="H91" s="82"/>
      <c r="I91" s="83"/>
      <c r="J91" s="28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</row>
    <row r="92" spans="1:39" ht="19.5" customHeight="1" x14ac:dyDescent="0.35">
      <c r="A92" s="14"/>
      <c r="B92" s="89"/>
      <c r="C92" s="18"/>
      <c r="D92" s="88"/>
      <c r="E92" s="28"/>
      <c r="F92" s="14"/>
      <c r="G92" s="87"/>
      <c r="H92" s="82"/>
      <c r="I92" s="83"/>
      <c r="J92" s="28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</row>
    <row r="93" spans="1:39" ht="19.5" customHeight="1" x14ac:dyDescent="0.35">
      <c r="A93" s="14"/>
      <c r="B93" s="89"/>
      <c r="C93" s="18"/>
      <c r="D93" s="88"/>
      <c r="E93" s="28"/>
      <c r="F93" s="14"/>
      <c r="G93" s="87"/>
      <c r="H93" s="82"/>
      <c r="I93" s="83"/>
      <c r="J93" s="28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</row>
    <row r="94" spans="1:39" ht="19.5" customHeight="1" x14ac:dyDescent="0.35">
      <c r="A94" s="14"/>
      <c r="B94" s="89"/>
      <c r="C94" s="18"/>
      <c r="D94" s="88"/>
      <c r="E94" s="28"/>
      <c r="F94" s="14"/>
      <c r="G94" s="87"/>
      <c r="H94" s="82"/>
      <c r="I94" s="83"/>
      <c r="J94" s="28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</row>
    <row r="95" spans="1:39" ht="19.5" customHeight="1" x14ac:dyDescent="0.35">
      <c r="A95" s="14"/>
      <c r="B95" s="89"/>
      <c r="C95" s="18"/>
      <c r="D95" s="88"/>
      <c r="E95" s="28"/>
      <c r="F95" s="14"/>
      <c r="G95" s="87"/>
      <c r="H95" s="82"/>
      <c r="I95" s="83"/>
      <c r="J95" s="28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</row>
    <row r="96" spans="1:39" ht="19.5" customHeight="1" x14ac:dyDescent="0.35">
      <c r="A96" s="14"/>
      <c r="B96" s="89"/>
      <c r="C96" s="18"/>
      <c r="D96" s="88"/>
      <c r="E96" s="28"/>
      <c r="F96" s="14"/>
      <c r="G96" s="87"/>
      <c r="H96" s="82"/>
      <c r="I96" s="83"/>
      <c r="J96" s="28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</row>
    <row r="97" spans="1:39" ht="19.5" customHeight="1" x14ac:dyDescent="0.35">
      <c r="A97" s="14"/>
      <c r="B97" s="89"/>
      <c r="C97" s="18"/>
      <c r="D97" s="88"/>
      <c r="E97" s="28"/>
      <c r="F97" s="14"/>
      <c r="G97" s="87"/>
      <c r="H97" s="82"/>
      <c r="I97" s="83"/>
      <c r="J97" s="28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</row>
    <row r="98" spans="1:39" ht="19.5" customHeight="1" x14ac:dyDescent="0.35">
      <c r="A98" s="14"/>
      <c r="B98" s="89"/>
      <c r="C98" s="18"/>
      <c r="D98" s="88"/>
      <c r="E98" s="28"/>
      <c r="F98" s="14"/>
      <c r="G98" s="87"/>
      <c r="H98" s="82"/>
      <c r="I98" s="83"/>
      <c r="J98" s="28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</row>
    <row r="99" spans="1:39" ht="19.5" customHeight="1" x14ac:dyDescent="0.35">
      <c r="A99" s="14"/>
      <c r="B99" s="89"/>
      <c r="C99" s="18"/>
      <c r="D99" s="88"/>
      <c r="E99" s="28"/>
      <c r="F99" s="14"/>
      <c r="G99" s="87"/>
      <c r="H99" s="82"/>
      <c r="I99" s="83"/>
      <c r="J99" s="28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</row>
    <row r="100" spans="1:39" ht="19.5" customHeight="1" x14ac:dyDescent="0.35">
      <c r="A100" s="14"/>
      <c r="B100" s="89"/>
      <c r="C100" s="18"/>
      <c r="D100" s="88"/>
      <c r="E100" s="28"/>
      <c r="F100" s="14"/>
      <c r="G100" s="87"/>
      <c r="H100" s="82"/>
      <c r="I100" s="83"/>
      <c r="J100" s="28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</row>
    <row r="101" spans="1:39" ht="19.5" customHeight="1" x14ac:dyDescent="0.35">
      <c r="A101" s="14"/>
      <c r="B101" s="89"/>
      <c r="C101" s="18"/>
      <c r="D101" s="88"/>
      <c r="E101" s="28"/>
      <c r="F101" s="14"/>
      <c r="G101" s="87"/>
      <c r="H101" s="82"/>
      <c r="I101" s="83"/>
      <c r="J101" s="28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</row>
    <row r="102" spans="1:39" ht="19.5" customHeight="1" x14ac:dyDescent="0.35">
      <c r="A102" s="14"/>
      <c r="B102" s="89"/>
      <c r="C102" s="18"/>
      <c r="D102" s="88"/>
      <c r="E102" s="28"/>
      <c r="F102" s="14"/>
      <c r="G102" s="87"/>
      <c r="H102" s="82"/>
      <c r="I102" s="83"/>
      <c r="J102" s="28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</row>
    <row r="103" spans="1:39" ht="19.5" customHeight="1" x14ac:dyDescent="0.35">
      <c r="A103" s="14"/>
      <c r="B103" s="89"/>
      <c r="C103" s="18"/>
      <c r="D103" s="88"/>
      <c r="E103" s="28"/>
      <c r="F103" s="14"/>
      <c r="G103" s="87"/>
      <c r="H103" s="82"/>
      <c r="I103" s="83"/>
      <c r="J103" s="28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</row>
    <row r="104" spans="1:39" ht="19.5" customHeight="1" x14ac:dyDescent="0.35">
      <c r="A104" s="14"/>
      <c r="B104" s="89"/>
      <c r="C104" s="18"/>
      <c r="D104" s="88"/>
      <c r="E104" s="28"/>
      <c r="F104" s="14"/>
      <c r="G104" s="87"/>
      <c r="H104" s="82"/>
      <c r="I104" s="83"/>
      <c r="J104" s="28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</row>
    <row r="105" spans="1:39" ht="19.5" customHeight="1" x14ac:dyDescent="0.35">
      <c r="A105" s="14"/>
      <c r="B105" s="89"/>
      <c r="C105" s="18"/>
      <c r="D105" s="88"/>
      <c r="E105" s="28"/>
      <c r="F105" s="14"/>
      <c r="G105" s="87"/>
      <c r="H105" s="82"/>
      <c r="I105" s="83"/>
      <c r="J105" s="28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</row>
    <row r="106" spans="1:39" ht="19.5" customHeight="1" x14ac:dyDescent="0.35">
      <c r="A106" s="14"/>
      <c r="B106" s="89"/>
      <c r="C106" s="18"/>
      <c r="D106" s="88"/>
      <c r="E106" s="28"/>
      <c r="F106" s="14"/>
      <c r="G106" s="87"/>
      <c r="H106" s="82"/>
      <c r="I106" s="83"/>
      <c r="J106" s="28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</row>
    <row r="107" spans="1:39" ht="19.5" customHeight="1" x14ac:dyDescent="0.35">
      <c r="A107" s="14"/>
      <c r="B107" s="89"/>
      <c r="C107" s="18"/>
      <c r="D107" s="88"/>
      <c r="E107" s="28"/>
      <c r="F107" s="14"/>
      <c r="G107" s="87"/>
      <c r="H107" s="82"/>
      <c r="I107" s="83"/>
      <c r="J107" s="28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</row>
    <row r="108" spans="1:39" ht="19.5" customHeight="1" x14ac:dyDescent="0.35">
      <c r="A108" s="14"/>
      <c r="B108" s="89"/>
      <c r="C108" s="18"/>
      <c r="D108" s="88"/>
      <c r="E108" s="28"/>
      <c r="F108" s="14"/>
      <c r="G108" s="87"/>
      <c r="H108" s="82"/>
      <c r="I108" s="83"/>
      <c r="J108" s="28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</row>
    <row r="109" spans="1:39" ht="19.5" customHeight="1" x14ac:dyDescent="0.35">
      <c r="A109" s="14"/>
      <c r="B109" s="89"/>
      <c r="C109" s="18"/>
      <c r="D109" s="88"/>
      <c r="E109" s="28"/>
      <c r="F109" s="14"/>
      <c r="G109" s="87"/>
      <c r="H109" s="82"/>
      <c r="I109" s="83"/>
      <c r="J109" s="28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</row>
    <row r="110" spans="1:39" ht="19.5" customHeight="1" x14ac:dyDescent="0.35">
      <c r="A110" s="14"/>
      <c r="B110" s="89"/>
      <c r="C110" s="18"/>
      <c r="D110" s="88"/>
      <c r="E110" s="28"/>
      <c r="F110" s="14"/>
      <c r="G110" s="87"/>
      <c r="H110" s="82"/>
      <c r="I110" s="83"/>
      <c r="J110" s="28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</row>
    <row r="111" spans="1:39" ht="19.5" customHeight="1" x14ac:dyDescent="0.35">
      <c r="A111" s="14"/>
      <c r="B111" s="89"/>
      <c r="C111" s="18"/>
      <c r="D111" s="88"/>
      <c r="E111" s="28"/>
      <c r="F111" s="14"/>
      <c r="G111" s="87"/>
      <c r="H111" s="82"/>
      <c r="I111" s="83"/>
      <c r="J111" s="28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</row>
    <row r="112" spans="1:39" ht="19.5" customHeight="1" x14ac:dyDescent="0.35">
      <c r="A112" s="14"/>
      <c r="B112" s="89"/>
      <c r="C112" s="18"/>
      <c r="D112" s="88"/>
      <c r="E112" s="28"/>
      <c r="F112" s="14"/>
      <c r="G112" s="87"/>
      <c r="H112" s="82"/>
      <c r="I112" s="83"/>
      <c r="J112" s="28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</row>
    <row r="113" spans="1:39" ht="19.5" customHeight="1" x14ac:dyDescent="0.35">
      <c r="A113" s="14"/>
      <c r="B113" s="89"/>
      <c r="C113" s="18"/>
      <c r="D113" s="88"/>
      <c r="E113" s="28"/>
      <c r="F113" s="14"/>
      <c r="G113" s="87"/>
      <c r="H113" s="82"/>
      <c r="I113" s="83"/>
      <c r="J113" s="28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</row>
    <row r="114" spans="1:39" ht="19.5" customHeight="1" x14ac:dyDescent="0.35">
      <c r="A114" s="14"/>
      <c r="B114" s="89"/>
      <c r="C114" s="18"/>
      <c r="D114" s="88"/>
      <c r="E114" s="28"/>
      <c r="F114" s="14"/>
      <c r="G114" s="87"/>
      <c r="H114" s="82"/>
      <c r="I114" s="83"/>
      <c r="J114" s="28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</row>
    <row r="115" spans="1:39" ht="19.5" customHeight="1" x14ac:dyDescent="0.35">
      <c r="A115" s="14"/>
      <c r="B115" s="89"/>
      <c r="C115" s="18"/>
      <c r="D115" s="88"/>
      <c r="E115" s="28"/>
      <c r="F115" s="14"/>
      <c r="G115" s="87"/>
      <c r="H115" s="82"/>
      <c r="I115" s="83"/>
      <c r="J115" s="28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</row>
    <row r="116" spans="1:39" ht="19.5" customHeight="1" x14ac:dyDescent="0.35">
      <c r="A116" s="14"/>
      <c r="B116" s="89"/>
      <c r="C116" s="18"/>
      <c r="D116" s="88"/>
      <c r="E116" s="28"/>
      <c r="F116" s="14"/>
      <c r="G116" s="87"/>
      <c r="H116" s="82"/>
      <c r="I116" s="83"/>
      <c r="J116" s="28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</row>
    <row r="117" spans="1:39" ht="19.5" customHeight="1" x14ac:dyDescent="0.35">
      <c r="A117" s="14"/>
      <c r="B117" s="89"/>
      <c r="C117" s="18"/>
      <c r="D117" s="88"/>
      <c r="E117" s="28"/>
      <c r="F117" s="14"/>
      <c r="G117" s="87"/>
      <c r="H117" s="82"/>
      <c r="I117" s="83"/>
      <c r="J117" s="28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</row>
  </sheetData>
  <mergeCells count="46">
    <mergeCell ref="S44:T44"/>
    <mergeCell ref="S33:T33"/>
    <mergeCell ref="S34:T34"/>
    <mergeCell ref="S35:T35"/>
    <mergeCell ref="S36:T36"/>
    <mergeCell ref="S37:T37"/>
    <mergeCell ref="S38:T38"/>
    <mergeCell ref="S39:T39"/>
    <mergeCell ref="M43:N43"/>
    <mergeCell ref="M44:N44"/>
    <mergeCell ref="M32:N32"/>
    <mergeCell ref="M33:N33"/>
    <mergeCell ref="M34:N34"/>
    <mergeCell ref="M35:N35"/>
    <mergeCell ref="M36:N36"/>
    <mergeCell ref="M37:N37"/>
    <mergeCell ref="M38:N38"/>
    <mergeCell ref="S32:T32"/>
    <mergeCell ref="M39:N39"/>
    <mergeCell ref="M40:N40"/>
    <mergeCell ref="M41:N41"/>
    <mergeCell ref="M42:N42"/>
    <mergeCell ref="S40:T40"/>
    <mergeCell ref="S41:T41"/>
    <mergeCell ref="M29:N29"/>
    <mergeCell ref="S29:T29"/>
    <mergeCell ref="M30:N30"/>
    <mergeCell ref="S30:T30"/>
    <mergeCell ref="M31:N31"/>
    <mergeCell ref="S31:T31"/>
    <mergeCell ref="M23:N23"/>
    <mergeCell ref="U23:W23"/>
    <mergeCell ref="M24:N24"/>
    <mergeCell ref="M27:N27"/>
    <mergeCell ref="M28:N28"/>
    <mergeCell ref="T18:V18"/>
    <mergeCell ref="T19:V19"/>
    <mergeCell ref="S27:T27"/>
    <mergeCell ref="S28:T28"/>
    <mergeCell ref="S20:W20"/>
    <mergeCell ref="U21:W21"/>
    <mergeCell ref="B1:J1"/>
    <mergeCell ref="M3:P4"/>
    <mergeCell ref="U3:V3"/>
    <mergeCell ref="T16:V16"/>
    <mergeCell ref="T17:V17"/>
  </mergeCells>
  <conditionalFormatting sqref="M27:N44 S27:S44">
    <cfRule type="notContainsBlanks" dxfId="19" priority="1">
      <formula>LEN(TRIM(M27))&gt;0</formula>
    </cfRule>
  </conditionalFormatting>
  <conditionalFormatting sqref="O44">
    <cfRule type="expression" dxfId="18" priority="2">
      <formula>NOT(ISBLANK(M44))</formula>
    </cfRule>
  </conditionalFormatting>
  <conditionalFormatting sqref="U34:U44">
    <cfRule type="expression" dxfId="17" priority="3">
      <formula>NOT(ISBLANK(S34))</formula>
    </cfRule>
  </conditionalFormatting>
  <conditionalFormatting sqref="W34:W44 Q42:Q44">
    <cfRule type="cellIs" dxfId="16" priority="4" operator="lessThan">
      <formula>0</formula>
    </cfRule>
    <cfRule type="cellIs" dxfId="15" priority="5" operator="equal">
      <formula>0</formula>
    </cfRule>
  </conditionalFormatting>
  <dataValidations count="2">
    <dataValidation type="list" allowBlank="1" sqref="E5:E117" xr:uid="{00000000-0002-0000-0000-000000000000}">
      <formula1>$M$28:$N$43</formula1>
    </dataValidation>
    <dataValidation type="list" allowBlank="1" sqref="J5:J117" xr:uid="{00000000-0002-0000-0000-000001000000}">
      <formula1>$S$27:$T$33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34343"/>
    <outlinePr summaryBelow="0" summaryRight="0"/>
  </sheetPr>
  <dimension ref="A1:AM81"/>
  <sheetViews>
    <sheetView showGridLines="0" workbookViewId="0"/>
  </sheetViews>
  <sheetFormatPr defaultColWidth="12.59765625" defaultRowHeight="15.75" customHeight="1" x14ac:dyDescent="0.35"/>
  <cols>
    <col min="1" max="1" width="5.1328125" customWidth="1"/>
    <col min="2" max="2" width="10.46484375" customWidth="1"/>
    <col min="3" max="3" width="10" customWidth="1"/>
    <col min="4" max="4" width="20.86328125" customWidth="1"/>
    <col min="5" max="5" width="16.265625" customWidth="1"/>
    <col min="6" max="6" width="5.1328125" customWidth="1"/>
    <col min="9" max="9" width="13.265625" customWidth="1"/>
    <col min="11" max="12" width="6.59765625" customWidth="1"/>
    <col min="13" max="13" width="11.59765625" customWidth="1"/>
    <col min="14" max="14" width="10.86328125" customWidth="1"/>
    <col min="15" max="15" width="11.86328125" customWidth="1"/>
    <col min="16" max="16" width="19.3984375" customWidth="1"/>
    <col min="17" max="19" width="6.59765625" customWidth="1"/>
    <col min="20" max="20" width="19.1328125" customWidth="1"/>
    <col min="21" max="21" width="10.73046875" customWidth="1"/>
    <col min="22" max="39" width="6.59765625" customWidth="1"/>
  </cols>
  <sheetData>
    <row r="1" spans="1:39" ht="33" customHeight="1" x14ac:dyDescent="0.35">
      <c r="A1" s="1"/>
      <c r="B1" s="94" t="s">
        <v>65</v>
      </c>
      <c r="C1" s="95"/>
      <c r="D1" s="95"/>
      <c r="E1" s="95"/>
      <c r="F1" s="95"/>
      <c r="G1" s="95"/>
      <c r="H1" s="95"/>
      <c r="I1" s="95"/>
      <c r="J1" s="9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48" customHeight="1" x14ac:dyDescent="0.95">
      <c r="A2" s="2"/>
      <c r="B2" s="3" t="s">
        <v>1</v>
      </c>
      <c r="C2" s="2"/>
      <c r="D2" s="2"/>
      <c r="E2" s="2"/>
      <c r="F2" s="2"/>
      <c r="G2" s="3" t="s">
        <v>2</v>
      </c>
      <c r="H2" s="2"/>
      <c r="I2" s="2"/>
      <c r="J2" s="2"/>
      <c r="K2" s="2"/>
      <c r="L2" s="4"/>
      <c r="M2" s="5"/>
      <c r="N2" s="5"/>
      <c r="O2" s="5"/>
      <c r="P2" s="6"/>
      <c r="Q2" s="7"/>
      <c r="R2" s="8"/>
      <c r="S2" s="7"/>
      <c r="T2" s="7"/>
      <c r="U2" s="7"/>
      <c r="V2" s="7"/>
      <c r="W2" s="7"/>
      <c r="X2" s="7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39" ht="12" customHeight="1" x14ac:dyDescent="0.6">
      <c r="A3" s="4"/>
      <c r="B3" s="9"/>
      <c r="C3" s="9"/>
      <c r="D3" s="9"/>
      <c r="E3" s="9"/>
      <c r="F3" s="4"/>
      <c r="G3" s="9"/>
      <c r="H3" s="9"/>
      <c r="I3" s="9"/>
      <c r="J3" s="9"/>
      <c r="K3" s="4"/>
      <c r="L3" s="10"/>
      <c r="M3" s="96" t="s">
        <v>3</v>
      </c>
      <c r="N3" s="95"/>
      <c r="O3" s="95"/>
      <c r="P3" s="95"/>
      <c r="Q3" s="7"/>
      <c r="R3" s="11"/>
      <c r="S3" s="7"/>
      <c r="T3" s="12"/>
      <c r="U3" s="97"/>
      <c r="V3" s="95"/>
      <c r="W3" s="13"/>
      <c r="X3" s="7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39" ht="24" customHeight="1" x14ac:dyDescent="0.35">
      <c r="A4" s="14"/>
      <c r="B4" s="15" t="s">
        <v>4</v>
      </c>
      <c r="C4" s="15" t="s">
        <v>5</v>
      </c>
      <c r="D4" s="15" t="s">
        <v>6</v>
      </c>
      <c r="E4" s="15" t="s">
        <v>7</v>
      </c>
      <c r="F4" s="14"/>
      <c r="G4" s="15" t="s">
        <v>4</v>
      </c>
      <c r="H4" s="15" t="s">
        <v>5</v>
      </c>
      <c r="I4" s="15" t="s">
        <v>6</v>
      </c>
      <c r="J4" s="15" t="s">
        <v>7</v>
      </c>
      <c r="K4" s="14"/>
      <c r="L4" s="10"/>
      <c r="M4" s="95"/>
      <c r="N4" s="95"/>
      <c r="O4" s="95"/>
      <c r="P4" s="95"/>
      <c r="Q4" s="7"/>
      <c r="R4" s="11"/>
      <c r="S4" s="7"/>
      <c r="T4" s="16"/>
      <c r="U4" s="7"/>
      <c r="V4" s="7"/>
      <c r="W4" s="11"/>
      <c r="X4" s="7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</row>
    <row r="5" spans="1:39" ht="19.5" customHeight="1" x14ac:dyDescent="0.35">
      <c r="A5" s="14"/>
      <c r="B5" s="17">
        <v>46174</v>
      </c>
      <c r="C5" s="18">
        <v>794</v>
      </c>
      <c r="D5" s="19" t="s">
        <v>8</v>
      </c>
      <c r="E5" s="20" t="s">
        <v>9</v>
      </c>
      <c r="F5" s="14"/>
      <c r="G5" s="17">
        <v>46174</v>
      </c>
      <c r="H5" s="18">
        <v>529000</v>
      </c>
      <c r="I5" s="21" t="s">
        <v>10</v>
      </c>
      <c r="J5" s="20" t="s">
        <v>11</v>
      </c>
      <c r="K5" s="14"/>
      <c r="L5" s="7"/>
      <c r="M5" s="22"/>
      <c r="N5" s="22"/>
      <c r="O5" s="22"/>
      <c r="P5" s="22"/>
      <c r="Q5" s="7"/>
      <c r="R5" s="11"/>
      <c r="S5" s="7"/>
      <c r="T5" s="16"/>
      <c r="U5" s="7"/>
      <c r="V5" s="7"/>
      <c r="W5" s="11"/>
      <c r="X5" s="7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</row>
    <row r="6" spans="1:39" ht="19.5" customHeight="1" x14ac:dyDescent="0.35">
      <c r="A6" s="14"/>
      <c r="B6" s="17">
        <v>46174</v>
      </c>
      <c r="C6" s="18">
        <v>10000</v>
      </c>
      <c r="D6" s="19" t="s">
        <v>12</v>
      </c>
      <c r="E6" s="23" t="s">
        <v>13</v>
      </c>
      <c r="F6" s="14"/>
      <c r="G6" s="24"/>
      <c r="H6" s="25"/>
      <c r="I6" s="26"/>
      <c r="J6" s="23"/>
      <c r="K6" s="14"/>
      <c r="L6" s="7"/>
      <c r="M6" s="22"/>
      <c r="N6" s="22"/>
      <c r="O6" s="22"/>
      <c r="P6" s="22"/>
      <c r="Q6" s="7"/>
      <c r="R6" s="11"/>
      <c r="S6" s="7"/>
      <c r="T6" s="16"/>
      <c r="U6" s="7"/>
      <c r="V6" s="7"/>
      <c r="W6" s="11"/>
      <c r="X6" s="7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</row>
    <row r="7" spans="1:39" ht="19.5" customHeight="1" x14ac:dyDescent="0.35">
      <c r="A7" s="14"/>
      <c r="B7" s="17">
        <v>46174</v>
      </c>
      <c r="C7" s="18">
        <v>16000</v>
      </c>
      <c r="D7" s="27" t="s">
        <v>14</v>
      </c>
      <c r="E7" s="23" t="s">
        <v>13</v>
      </c>
      <c r="F7" s="14"/>
      <c r="G7" s="24"/>
      <c r="H7" s="25"/>
      <c r="I7" s="26"/>
      <c r="J7" s="23"/>
      <c r="K7" s="14"/>
      <c r="L7" s="7"/>
      <c r="M7" s="22"/>
      <c r="N7" s="22"/>
      <c r="O7" s="22"/>
      <c r="P7" s="22"/>
      <c r="Q7" s="7"/>
      <c r="R7" s="11"/>
      <c r="S7" s="7"/>
      <c r="T7" s="16"/>
      <c r="U7" s="7"/>
      <c r="V7" s="7"/>
      <c r="W7" s="11"/>
      <c r="X7" s="7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</row>
    <row r="8" spans="1:39" ht="19.5" customHeight="1" x14ac:dyDescent="0.35">
      <c r="A8" s="14"/>
      <c r="B8" s="17">
        <v>46174</v>
      </c>
      <c r="C8" s="18">
        <v>279</v>
      </c>
      <c r="D8" s="19" t="s">
        <v>15</v>
      </c>
      <c r="E8" s="23" t="s">
        <v>16</v>
      </c>
      <c r="F8" s="14"/>
      <c r="G8" s="24"/>
      <c r="H8" s="25"/>
      <c r="I8" s="26"/>
      <c r="J8" s="23"/>
      <c r="K8" s="14"/>
      <c r="L8" s="7"/>
      <c r="M8" s="22"/>
      <c r="N8" s="22"/>
      <c r="O8" s="22"/>
      <c r="P8" s="22"/>
      <c r="Q8" s="7"/>
      <c r="R8" s="11"/>
      <c r="S8" s="7"/>
      <c r="T8" s="16"/>
      <c r="U8" s="7"/>
      <c r="V8" s="7"/>
      <c r="W8" s="11"/>
      <c r="X8" s="7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</row>
    <row r="9" spans="1:39" ht="19.5" customHeight="1" x14ac:dyDescent="0.35">
      <c r="A9" s="14"/>
      <c r="B9" s="17">
        <v>46174</v>
      </c>
      <c r="C9" s="18">
        <f>609+12000+630+3900</f>
        <v>17139</v>
      </c>
      <c r="D9" s="19" t="s">
        <v>17</v>
      </c>
      <c r="E9" s="20" t="s">
        <v>9</v>
      </c>
      <c r="F9" s="14"/>
      <c r="G9" s="24"/>
      <c r="H9" s="25"/>
      <c r="I9" s="26"/>
      <c r="J9" s="23"/>
      <c r="K9" s="14"/>
      <c r="L9" s="7"/>
      <c r="M9" s="22"/>
      <c r="N9" s="22"/>
      <c r="O9" s="22"/>
      <c r="P9" s="22"/>
      <c r="Q9" s="7"/>
      <c r="R9" s="11"/>
      <c r="S9" s="7"/>
      <c r="T9" s="16"/>
      <c r="U9" s="7"/>
      <c r="V9" s="7"/>
      <c r="W9" s="11"/>
      <c r="X9" s="7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</row>
    <row r="10" spans="1:39" ht="19.5" customHeight="1" x14ac:dyDescent="0.35">
      <c r="A10" s="14"/>
      <c r="B10" s="17">
        <v>46174</v>
      </c>
      <c r="C10" s="18">
        <v>9600</v>
      </c>
      <c r="D10" s="19" t="s">
        <v>18</v>
      </c>
      <c r="E10" s="20" t="s">
        <v>19</v>
      </c>
      <c r="F10" s="14"/>
      <c r="G10" s="24"/>
      <c r="H10" s="25"/>
      <c r="I10" s="26"/>
      <c r="J10" s="23"/>
      <c r="K10" s="14"/>
      <c r="L10" s="7"/>
      <c r="M10" s="22"/>
      <c r="N10" s="22"/>
      <c r="O10" s="22"/>
      <c r="P10" s="22"/>
      <c r="Q10" s="7"/>
      <c r="R10" s="11"/>
      <c r="S10" s="7"/>
      <c r="T10" s="16"/>
      <c r="U10" s="7"/>
      <c r="V10" s="7"/>
      <c r="W10" s="11"/>
      <c r="X10" s="7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</row>
    <row r="11" spans="1:39" ht="19.5" customHeight="1" x14ac:dyDescent="0.35">
      <c r="A11" s="14"/>
      <c r="B11" s="17">
        <v>46174</v>
      </c>
      <c r="C11" s="18">
        <v>265000</v>
      </c>
      <c r="D11" s="19" t="s">
        <v>20</v>
      </c>
      <c r="E11" s="20" t="s">
        <v>21</v>
      </c>
      <c r="F11" s="14"/>
      <c r="G11" s="24"/>
      <c r="H11" s="25"/>
      <c r="I11" s="26"/>
      <c r="J11" s="23"/>
      <c r="K11" s="14"/>
      <c r="L11" s="7"/>
      <c r="M11" s="22"/>
      <c r="N11" s="22"/>
      <c r="O11" s="22"/>
      <c r="P11" s="22"/>
      <c r="Q11" s="7"/>
      <c r="R11" s="11"/>
      <c r="S11" s="7"/>
      <c r="T11" s="16"/>
      <c r="U11" s="7"/>
      <c r="V11" s="7"/>
      <c r="W11" s="11"/>
      <c r="X11" s="7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</row>
    <row r="12" spans="1:39" ht="19.5" customHeight="1" x14ac:dyDescent="0.35">
      <c r="A12" s="14"/>
      <c r="B12" s="17">
        <v>46174</v>
      </c>
      <c r="C12" s="18">
        <v>2500</v>
      </c>
      <c r="D12" s="19" t="s">
        <v>22</v>
      </c>
      <c r="E12" s="20" t="s">
        <v>9</v>
      </c>
      <c r="F12" s="14"/>
      <c r="G12" s="24"/>
      <c r="H12" s="25"/>
      <c r="I12" s="26"/>
      <c r="J12" s="23"/>
      <c r="K12" s="14"/>
      <c r="L12" s="7"/>
      <c r="M12" s="22"/>
      <c r="N12" s="22"/>
      <c r="O12" s="22"/>
      <c r="P12" s="22"/>
      <c r="Q12" s="7"/>
      <c r="R12" s="11"/>
      <c r="S12" s="7"/>
      <c r="T12" s="16"/>
      <c r="U12" s="7"/>
      <c r="V12" s="7"/>
      <c r="W12" s="11"/>
      <c r="X12" s="7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</row>
    <row r="13" spans="1:39" ht="19.5" customHeight="1" x14ac:dyDescent="0.35">
      <c r="A13" s="14"/>
      <c r="B13" s="17">
        <v>46174</v>
      </c>
      <c r="C13" s="18">
        <v>13683</v>
      </c>
      <c r="D13" s="19" t="s">
        <v>23</v>
      </c>
      <c r="E13" s="28" t="s">
        <v>19</v>
      </c>
      <c r="F13" s="14"/>
      <c r="G13" s="24"/>
      <c r="H13" s="25"/>
      <c r="I13" s="26"/>
      <c r="J13" s="23"/>
      <c r="K13" s="14"/>
      <c r="L13" s="7"/>
      <c r="M13" s="22"/>
      <c r="N13" s="22"/>
      <c r="O13" s="22"/>
      <c r="P13" s="22"/>
      <c r="Q13" s="7"/>
      <c r="R13" s="29"/>
      <c r="S13" s="30"/>
      <c r="T13" s="31"/>
      <c r="U13" s="30"/>
      <c r="V13" s="30"/>
      <c r="W13" s="29"/>
      <c r="X13" s="30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</row>
    <row r="14" spans="1:39" ht="19.5" customHeight="1" x14ac:dyDescent="0.6">
      <c r="A14" s="14"/>
      <c r="B14" s="17">
        <v>46174</v>
      </c>
      <c r="C14" s="18">
        <v>520</v>
      </c>
      <c r="D14" s="19" t="s">
        <v>35</v>
      </c>
      <c r="E14" s="23" t="s">
        <v>27</v>
      </c>
      <c r="F14" s="14"/>
      <c r="G14" s="24"/>
      <c r="H14" s="25"/>
      <c r="I14" s="26"/>
      <c r="J14" s="23"/>
      <c r="K14" s="14"/>
      <c r="L14" s="4"/>
      <c r="M14" s="32"/>
      <c r="N14" s="32"/>
      <c r="O14" s="33"/>
      <c r="P14" s="4"/>
      <c r="Q14" s="4"/>
      <c r="R14" s="34"/>
      <c r="S14" s="34"/>
      <c r="T14" s="34"/>
      <c r="U14" s="34"/>
      <c r="V14" s="34"/>
      <c r="W14" s="35"/>
      <c r="X14" s="35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</row>
    <row r="15" spans="1:39" ht="19.5" customHeight="1" x14ac:dyDescent="0.6">
      <c r="A15" s="14"/>
      <c r="B15" s="17">
        <v>46174</v>
      </c>
      <c r="C15" s="18">
        <f>290</f>
        <v>290</v>
      </c>
      <c r="D15" s="19" t="s">
        <v>66</v>
      </c>
      <c r="E15" s="23" t="s">
        <v>38</v>
      </c>
      <c r="F15" s="14"/>
      <c r="G15" s="24"/>
      <c r="H15" s="25"/>
      <c r="I15" s="26"/>
      <c r="J15" s="23"/>
      <c r="K15" s="14"/>
      <c r="L15" s="12"/>
      <c r="M15" s="4"/>
      <c r="N15" s="12"/>
      <c r="O15" s="36"/>
      <c r="P15" s="4"/>
      <c r="Q15" s="4"/>
      <c r="R15" s="35"/>
      <c r="S15" s="34"/>
      <c r="T15" s="34"/>
      <c r="U15" s="34"/>
      <c r="V15" s="34"/>
      <c r="W15" s="34"/>
      <c r="X15" s="3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</row>
    <row r="16" spans="1:39" ht="19.5" customHeight="1" x14ac:dyDescent="1.35">
      <c r="A16" s="14"/>
      <c r="B16" s="17">
        <v>46175</v>
      </c>
      <c r="C16" s="18">
        <v>738</v>
      </c>
      <c r="D16" s="19" t="s">
        <v>67</v>
      </c>
      <c r="E16" s="23" t="s">
        <v>38</v>
      </c>
      <c r="F16" s="14"/>
      <c r="G16" s="24"/>
      <c r="H16" s="25"/>
      <c r="I16" s="26"/>
      <c r="J16" s="23"/>
      <c r="K16" s="14"/>
      <c r="L16" s="12"/>
      <c r="M16" s="4"/>
      <c r="N16" s="36"/>
      <c r="O16" s="36"/>
      <c r="P16" s="4"/>
      <c r="Q16" s="4"/>
      <c r="R16" s="35"/>
      <c r="S16" s="34"/>
      <c r="T16" s="98"/>
      <c r="U16" s="95"/>
      <c r="V16" s="95"/>
      <c r="W16" s="34"/>
      <c r="X16" s="37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</row>
    <row r="17" spans="1:39" ht="19.5" customHeight="1" x14ac:dyDescent="1.35">
      <c r="A17" s="14"/>
      <c r="B17" s="17">
        <v>46175</v>
      </c>
      <c r="C17" s="18">
        <v>21514</v>
      </c>
      <c r="D17" s="19" t="s">
        <v>68</v>
      </c>
      <c r="E17" s="23" t="s">
        <v>62</v>
      </c>
      <c r="F17" s="14"/>
      <c r="G17" s="24"/>
      <c r="H17" s="25"/>
      <c r="I17" s="26"/>
      <c r="J17" s="23"/>
      <c r="K17" s="14"/>
      <c r="L17" s="4"/>
      <c r="M17" s="4"/>
      <c r="N17" s="36"/>
      <c r="O17" s="36"/>
      <c r="P17" s="4"/>
      <c r="Q17" s="4"/>
      <c r="R17" s="35"/>
      <c r="S17" s="34"/>
      <c r="T17" s="99"/>
      <c r="U17" s="95"/>
      <c r="V17" s="95"/>
      <c r="W17" s="34"/>
      <c r="X17" s="38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</row>
    <row r="18" spans="1:39" ht="19.5" customHeight="1" x14ac:dyDescent="1.35">
      <c r="A18" s="14"/>
      <c r="B18" s="17">
        <v>46176</v>
      </c>
      <c r="C18" s="18">
        <v>2364</v>
      </c>
      <c r="D18" s="19" t="s">
        <v>69</v>
      </c>
      <c r="E18" s="23" t="s">
        <v>25</v>
      </c>
      <c r="F18" s="14"/>
      <c r="G18" s="24"/>
      <c r="H18" s="25"/>
      <c r="I18" s="26"/>
      <c r="J18" s="23"/>
      <c r="K18" s="14"/>
      <c r="L18" s="4"/>
      <c r="M18" s="4"/>
      <c r="N18" s="36"/>
      <c r="O18" s="36"/>
      <c r="P18" s="4"/>
      <c r="Q18" s="4"/>
      <c r="R18" s="39"/>
      <c r="S18" s="34"/>
      <c r="T18" s="100"/>
      <c r="U18" s="95"/>
      <c r="V18" s="95"/>
      <c r="W18" s="34"/>
      <c r="X18" s="38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</row>
    <row r="19" spans="1:39" ht="19.5" customHeight="1" x14ac:dyDescent="0.8">
      <c r="A19" s="14"/>
      <c r="B19" s="17">
        <v>46180</v>
      </c>
      <c r="C19" s="18">
        <v>400</v>
      </c>
      <c r="D19" s="19" t="s">
        <v>66</v>
      </c>
      <c r="E19" s="23" t="s">
        <v>38</v>
      </c>
      <c r="F19" s="14"/>
      <c r="G19" s="24"/>
      <c r="H19" s="25"/>
      <c r="I19" s="26"/>
      <c r="J19" s="23"/>
      <c r="K19" s="14"/>
      <c r="L19" s="4"/>
      <c r="M19" s="32"/>
      <c r="N19" s="40"/>
      <c r="O19" s="41"/>
      <c r="P19" s="42"/>
      <c r="Q19" s="40"/>
      <c r="R19" s="43"/>
      <c r="S19" s="34"/>
      <c r="T19" s="101"/>
      <c r="U19" s="95"/>
      <c r="V19" s="95"/>
      <c r="W19" s="34"/>
      <c r="X19" s="4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</row>
    <row r="20" spans="1:39" ht="19.5" customHeight="1" x14ac:dyDescent="0.35">
      <c r="A20" s="14"/>
      <c r="B20" s="17">
        <v>46180</v>
      </c>
      <c r="C20" s="18">
        <v>540</v>
      </c>
      <c r="D20" s="19" t="s">
        <v>45</v>
      </c>
      <c r="E20" s="23" t="s">
        <v>38</v>
      </c>
      <c r="F20" s="14"/>
      <c r="G20" s="24"/>
      <c r="H20" s="25"/>
      <c r="I20" s="26"/>
      <c r="J20" s="23"/>
      <c r="K20" s="14"/>
      <c r="L20" s="45"/>
      <c r="M20" s="46" t="s">
        <v>1</v>
      </c>
      <c r="N20" s="46"/>
      <c r="O20" s="47" t="s">
        <v>34</v>
      </c>
      <c r="P20" s="46"/>
      <c r="Q20" s="46"/>
      <c r="R20" s="48"/>
      <c r="S20" s="106" t="s">
        <v>2</v>
      </c>
      <c r="T20" s="95"/>
      <c r="U20" s="95"/>
      <c r="V20" s="95"/>
      <c r="W20" s="95"/>
      <c r="X20" s="48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</row>
    <row r="21" spans="1:39" ht="19.5" customHeight="1" x14ac:dyDescent="0.35">
      <c r="A21" s="14"/>
      <c r="B21" s="17">
        <v>46177</v>
      </c>
      <c r="C21" s="18">
        <v>260</v>
      </c>
      <c r="D21" s="19" t="s">
        <v>35</v>
      </c>
      <c r="E21" s="23" t="s">
        <v>27</v>
      </c>
      <c r="F21" s="14"/>
      <c r="G21" s="24"/>
      <c r="H21" s="25"/>
      <c r="I21" s="26"/>
      <c r="J21" s="23"/>
      <c r="K21" s="14"/>
      <c r="L21" s="14"/>
      <c r="M21" s="47" t="s">
        <v>36</v>
      </c>
      <c r="N21" s="49">
        <f>O26</f>
        <v>407714</v>
      </c>
      <c r="O21" s="49">
        <f>SUM(O28:O40,O42,O43)</f>
        <v>142714</v>
      </c>
      <c r="P21" s="50"/>
      <c r="Q21" s="50"/>
      <c r="R21" s="51"/>
      <c r="S21" s="47" t="s">
        <v>36</v>
      </c>
      <c r="T21" s="49">
        <f>U26</f>
        <v>529000</v>
      </c>
      <c r="U21" s="107" t="str">
        <f ca="1">IFERROR(__xludf.DUMMYFUNCTION("SPARKLINE(T21,{""charttype"",""bar"";""max"",max(T21);""color1"",""#334960""})"),"")</f>
        <v/>
      </c>
      <c r="V21" s="95"/>
      <c r="W21" s="95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</row>
    <row r="22" spans="1:39" ht="19.5" customHeight="1" x14ac:dyDescent="0.35">
      <c r="A22" s="14"/>
      <c r="B22" s="17">
        <v>46180</v>
      </c>
      <c r="C22" s="18">
        <v>1970</v>
      </c>
      <c r="D22" s="19" t="s">
        <v>70</v>
      </c>
      <c r="E22" s="23" t="s">
        <v>38</v>
      </c>
      <c r="F22" s="14"/>
      <c r="G22" s="24"/>
      <c r="H22" s="25"/>
      <c r="I22" s="26"/>
      <c r="J22" s="23"/>
      <c r="K22" s="14"/>
      <c r="L22" s="14"/>
      <c r="M22" s="47" t="s">
        <v>39</v>
      </c>
      <c r="N22" s="49">
        <f>SUM(O28:O37,O39,O42,O43)</f>
        <v>93431</v>
      </c>
      <c r="O22" s="50"/>
      <c r="P22" s="50"/>
      <c r="Q22" s="50"/>
      <c r="R22" s="51"/>
      <c r="S22" s="47"/>
      <c r="T22" s="49"/>
      <c r="U22" s="50"/>
      <c r="V22" s="50"/>
      <c r="W22" s="50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</row>
    <row r="23" spans="1:39" ht="19.5" customHeight="1" x14ac:dyDescent="0.6">
      <c r="A23" s="14"/>
      <c r="B23" s="17">
        <v>46181</v>
      </c>
      <c r="C23" s="18">
        <f>510+560+6+15+9+16</f>
        <v>1116</v>
      </c>
      <c r="D23" s="19" t="s">
        <v>28</v>
      </c>
      <c r="E23" s="23" t="s">
        <v>29</v>
      </c>
      <c r="F23" s="14"/>
      <c r="G23" s="24"/>
      <c r="H23" s="25"/>
      <c r="I23" s="26"/>
      <c r="J23" s="23"/>
      <c r="K23" s="14"/>
      <c r="L23" s="4"/>
      <c r="M23" s="108" t="s">
        <v>42</v>
      </c>
      <c r="N23" s="95"/>
      <c r="O23" s="52">
        <f>T21-N21</f>
        <v>121286</v>
      </c>
      <c r="P23" s="46"/>
      <c r="Q23" s="46"/>
      <c r="R23" s="4"/>
      <c r="T23" s="53"/>
      <c r="U23" s="109"/>
      <c r="V23" s="95"/>
      <c r="W23" s="95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</row>
    <row r="24" spans="1:39" ht="19.5" customHeight="1" x14ac:dyDescent="0.35">
      <c r="A24" s="14"/>
      <c r="B24" s="17">
        <v>46181</v>
      </c>
      <c r="C24" s="18">
        <f>80+275+20+148+10+80+80+30</f>
        <v>723</v>
      </c>
      <c r="D24" s="19" t="s">
        <v>30</v>
      </c>
      <c r="E24" s="23" t="s">
        <v>29</v>
      </c>
      <c r="F24" s="14"/>
      <c r="G24" s="24"/>
      <c r="H24" s="25"/>
      <c r="I24" s="26"/>
      <c r="J24" s="23"/>
      <c r="K24" s="14"/>
      <c r="L24" s="54"/>
      <c r="M24" s="110" t="s">
        <v>1</v>
      </c>
      <c r="N24" s="95"/>
      <c r="O24" s="55"/>
      <c r="P24" s="55"/>
      <c r="Q24" s="55"/>
      <c r="R24" s="56"/>
      <c r="S24" s="57" t="s">
        <v>2</v>
      </c>
      <c r="T24" s="58"/>
      <c r="U24" s="55"/>
      <c r="V24" s="55"/>
      <c r="W24" s="55"/>
      <c r="X24" s="5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</row>
    <row r="25" spans="1:39" ht="19.5" customHeight="1" x14ac:dyDescent="1.05">
      <c r="A25" s="14"/>
      <c r="B25" s="17">
        <v>46181</v>
      </c>
      <c r="C25" s="18">
        <v>900</v>
      </c>
      <c r="D25" s="19" t="s">
        <v>31</v>
      </c>
      <c r="E25" s="23" t="s">
        <v>29</v>
      </c>
      <c r="F25" s="14"/>
      <c r="G25" s="24"/>
      <c r="H25" s="25"/>
      <c r="I25" s="26"/>
      <c r="J25" s="23"/>
      <c r="K25" s="14"/>
      <c r="L25" s="59"/>
      <c r="M25" s="60"/>
      <c r="N25" s="61"/>
      <c r="O25" s="60" t="s">
        <v>36</v>
      </c>
      <c r="R25" s="62"/>
      <c r="S25" s="63"/>
      <c r="T25" s="64"/>
      <c r="U25" s="60" t="s">
        <v>36</v>
      </c>
      <c r="X25" s="59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</row>
    <row r="26" spans="1:39" ht="19.5" customHeight="1" x14ac:dyDescent="0.35">
      <c r="A26" s="14"/>
      <c r="B26" s="17">
        <v>46179</v>
      </c>
      <c r="C26" s="18">
        <f>30+100</f>
        <v>130</v>
      </c>
      <c r="D26" s="19" t="s">
        <v>71</v>
      </c>
      <c r="E26" s="23" t="s">
        <v>25</v>
      </c>
      <c r="F26" s="14"/>
      <c r="G26" s="24"/>
      <c r="H26" s="25"/>
      <c r="I26" s="26"/>
      <c r="J26" s="23"/>
      <c r="K26" s="14"/>
      <c r="L26" s="65"/>
      <c r="M26" s="66" t="s">
        <v>44</v>
      </c>
      <c r="N26" s="66"/>
      <c r="O26" s="67">
        <f>SUM(O27:P81)</f>
        <v>407714</v>
      </c>
      <c r="R26" s="68"/>
      <c r="S26" s="69" t="s">
        <v>44</v>
      </c>
      <c r="T26" s="70"/>
      <c r="U26" s="67">
        <f>SUM(U27:U44)</f>
        <v>529000</v>
      </c>
      <c r="X26" s="65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</row>
    <row r="27" spans="1:39" ht="19.5" customHeight="1" x14ac:dyDescent="0.35">
      <c r="A27" s="14"/>
      <c r="B27" s="17">
        <v>46179</v>
      </c>
      <c r="C27" s="18">
        <v>260</v>
      </c>
      <c r="D27" s="19" t="s">
        <v>26</v>
      </c>
      <c r="E27" s="23" t="s">
        <v>27</v>
      </c>
      <c r="F27" s="14"/>
      <c r="G27" s="24"/>
      <c r="H27" s="25"/>
      <c r="I27" s="26"/>
      <c r="J27" s="23"/>
      <c r="K27" s="14"/>
      <c r="L27" s="71"/>
      <c r="M27" s="111"/>
      <c r="N27" s="112"/>
      <c r="O27" s="72">
        <f>IF(ISBLANK($B29), "", SUMIF('06-26'!$E:$E,$B29,'06-26'!$C:$C))</f>
        <v>0</v>
      </c>
      <c r="R27" s="73"/>
      <c r="S27" s="102"/>
      <c r="T27" s="103"/>
      <c r="U27" s="72" t="str">
        <f>IF(ISBLANK($H27), "", SUMIF('06-26'!$J:$J,$H27,'06-26'!$H:$H))</f>
        <v/>
      </c>
      <c r="X27" s="71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</row>
    <row r="28" spans="1:39" ht="19.5" customHeight="1" x14ac:dyDescent="0.35">
      <c r="A28" s="14"/>
      <c r="B28" s="17">
        <v>46179</v>
      </c>
      <c r="C28" s="18">
        <v>650</v>
      </c>
      <c r="D28" s="19" t="s">
        <v>72</v>
      </c>
      <c r="E28" s="23" t="s">
        <v>41</v>
      </c>
      <c r="F28" s="14"/>
      <c r="G28" s="24"/>
      <c r="H28" s="25"/>
      <c r="I28" s="26"/>
      <c r="J28" s="23"/>
      <c r="K28" s="14"/>
      <c r="L28" s="71"/>
      <c r="M28" s="104" t="s">
        <v>27</v>
      </c>
      <c r="N28" s="105"/>
      <c r="O28" s="74">
        <f>IF(ISBLANK($M28), "", SUMIF('06-26'!$E:$E,$M28,'06-26'!$C:$C))</f>
        <v>3607</v>
      </c>
      <c r="R28" s="73"/>
      <c r="S28" s="104" t="s">
        <v>47</v>
      </c>
      <c r="T28" s="105"/>
      <c r="U28" s="74">
        <f>IF(ISBLANK($S28), "", SUMIF('06-26'!$J:$J,$S28,'06-26'!$H:$H))</f>
        <v>0</v>
      </c>
      <c r="X28" s="71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</row>
    <row r="29" spans="1:39" ht="19.5" customHeight="1" x14ac:dyDescent="0.35">
      <c r="A29" s="14"/>
      <c r="B29" s="17">
        <v>46188</v>
      </c>
      <c r="C29" s="18">
        <f>609+560+10+16+9</f>
        <v>1204</v>
      </c>
      <c r="D29" s="19" t="s">
        <v>28</v>
      </c>
      <c r="E29" s="23" t="s">
        <v>29</v>
      </c>
      <c r="F29" s="14"/>
      <c r="G29" s="24"/>
      <c r="H29" s="25"/>
      <c r="I29" s="26"/>
      <c r="J29" s="23"/>
      <c r="K29" s="14"/>
      <c r="L29" s="71"/>
      <c r="M29" s="104" t="s">
        <v>50</v>
      </c>
      <c r="N29" s="105"/>
      <c r="O29" s="74">
        <f>IF(ISBLANK($M29), "", SUMIF('06-26'!$E:$E,$M29,'06-26'!$C:$C))</f>
        <v>0</v>
      </c>
      <c r="R29" s="73"/>
      <c r="S29" s="104" t="s">
        <v>11</v>
      </c>
      <c r="T29" s="105"/>
      <c r="U29" s="74">
        <f>IF(ISBLANK($S29), "", SUMIF('06-26'!$J:$J,$S29,'06-26'!$H:$H))</f>
        <v>529000</v>
      </c>
      <c r="X29" s="71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</row>
    <row r="30" spans="1:39" ht="19.5" customHeight="1" x14ac:dyDescent="0.35">
      <c r="A30" s="14"/>
      <c r="B30" s="17">
        <v>46188</v>
      </c>
      <c r="C30" s="18">
        <f>80+15+168+95+30</f>
        <v>388</v>
      </c>
      <c r="D30" s="19" t="s">
        <v>30</v>
      </c>
      <c r="E30" s="23" t="s">
        <v>29</v>
      </c>
      <c r="F30" s="14"/>
      <c r="G30" s="24"/>
      <c r="H30" s="25"/>
      <c r="I30" s="26"/>
      <c r="J30" s="23"/>
      <c r="K30" s="14"/>
      <c r="L30" s="14"/>
      <c r="M30" s="104" t="s">
        <v>52</v>
      </c>
      <c r="N30" s="105"/>
      <c r="O30" s="74">
        <f>IF(ISBLANK($M30), "", SUMIF('06-26'!$E:$E,$M30,'06-26'!$C:$C))</f>
        <v>939</v>
      </c>
      <c r="R30" s="75"/>
      <c r="S30" s="104" t="s">
        <v>53</v>
      </c>
      <c r="T30" s="105"/>
      <c r="U30" s="74">
        <f>IF(ISBLANK($S30), "", SUMIF('06-26'!$J:$J,$S30,'06-26'!$H:$H))</f>
        <v>0</v>
      </c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</row>
    <row r="31" spans="1:39" ht="19.5" customHeight="1" x14ac:dyDescent="0.35">
      <c r="A31" s="14"/>
      <c r="B31" s="17">
        <v>46188</v>
      </c>
      <c r="C31" s="18">
        <v>1020</v>
      </c>
      <c r="D31" s="19" t="s">
        <v>31</v>
      </c>
      <c r="E31" s="23" t="s">
        <v>29</v>
      </c>
      <c r="F31" s="14"/>
      <c r="G31" s="24"/>
      <c r="H31" s="25"/>
      <c r="I31" s="26"/>
      <c r="J31" s="23"/>
      <c r="K31" s="14"/>
      <c r="L31" s="14"/>
      <c r="M31" s="104" t="s">
        <v>41</v>
      </c>
      <c r="N31" s="105"/>
      <c r="O31" s="74">
        <f>IF(ISBLANK($M31), "", SUMIF('06-26'!$E:$E,$M31,'06-26'!$C:$C))</f>
        <v>2567</v>
      </c>
      <c r="R31" s="75"/>
      <c r="S31" s="104" t="s">
        <v>55</v>
      </c>
      <c r="T31" s="105"/>
      <c r="U31" s="74">
        <f>IF(ISBLANK($S31), "", SUMIF('06-26'!$J:$J,$S31,'06-26'!$H:$H))</f>
        <v>0</v>
      </c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</row>
    <row r="32" spans="1:39" ht="19.5" customHeight="1" x14ac:dyDescent="0.35">
      <c r="A32" s="14"/>
      <c r="B32" s="17">
        <v>46184</v>
      </c>
      <c r="C32" s="18">
        <v>747</v>
      </c>
      <c r="D32" s="19" t="s">
        <v>73</v>
      </c>
      <c r="E32" s="23" t="s">
        <v>41</v>
      </c>
      <c r="F32" s="14"/>
      <c r="G32" s="24"/>
      <c r="H32" s="25"/>
      <c r="I32" s="26"/>
      <c r="J32" s="23"/>
      <c r="K32" s="14"/>
      <c r="L32" s="14"/>
      <c r="M32" s="104" t="s">
        <v>49</v>
      </c>
      <c r="N32" s="105"/>
      <c r="O32" s="74">
        <f>IF(ISBLANK($M32), "", SUMIF('06-26'!$E:$E,$M32,'06-26'!$C:$C))</f>
        <v>0</v>
      </c>
      <c r="R32" s="75"/>
      <c r="S32" s="104" t="s">
        <v>56</v>
      </c>
      <c r="T32" s="105"/>
      <c r="U32" s="74">
        <f>IF(ISBLANK($S32), "", SUMIF('06-26'!$J:$J,$S32,'06-26'!$H:$H))</f>
        <v>0</v>
      </c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</row>
    <row r="33" spans="1:39" ht="19.5" customHeight="1" x14ac:dyDescent="0.35">
      <c r="A33" s="14"/>
      <c r="B33" s="17">
        <v>46184</v>
      </c>
      <c r="C33" s="18">
        <v>323</v>
      </c>
      <c r="D33" s="19" t="s">
        <v>66</v>
      </c>
      <c r="E33" s="23" t="s">
        <v>38</v>
      </c>
      <c r="F33" s="14"/>
      <c r="G33" s="24"/>
      <c r="H33" s="25"/>
      <c r="I33" s="26"/>
      <c r="J33" s="23"/>
      <c r="K33" s="14"/>
      <c r="L33" s="14"/>
      <c r="M33" s="104" t="s">
        <v>25</v>
      </c>
      <c r="N33" s="105"/>
      <c r="O33" s="74">
        <f>IF(ISBLANK($M33), "", SUMIF('06-26'!$E:$E,$M33,'06-26'!$C:$C))</f>
        <v>4069</v>
      </c>
      <c r="R33" s="75"/>
      <c r="S33" s="104" t="s">
        <v>58</v>
      </c>
      <c r="T33" s="105"/>
      <c r="U33" s="74">
        <f>IF(ISBLANK($S33), "", SUMIF('06-26'!$J:$J,$S33,'06-26'!$H:$H))</f>
        <v>0</v>
      </c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</row>
    <row r="34" spans="1:39" ht="19.5" customHeight="1" x14ac:dyDescent="0.6">
      <c r="A34" s="14"/>
      <c r="B34" s="17">
        <v>46185</v>
      </c>
      <c r="C34" s="18">
        <v>939</v>
      </c>
      <c r="D34" s="19" t="s">
        <v>74</v>
      </c>
      <c r="E34" s="23" t="s">
        <v>52</v>
      </c>
      <c r="F34" s="14"/>
      <c r="G34" s="24"/>
      <c r="H34" s="76"/>
      <c r="I34" s="77"/>
      <c r="J34" s="78"/>
      <c r="K34" s="14"/>
      <c r="L34" s="14"/>
      <c r="M34" s="104" t="s">
        <v>38</v>
      </c>
      <c r="N34" s="105"/>
      <c r="O34" s="74">
        <f>IF(ISBLANK($M34), "", SUMIF('06-26'!$E:$E,$M34,'06-26'!$C:$C))</f>
        <v>9140</v>
      </c>
      <c r="R34" s="79"/>
      <c r="S34" s="113"/>
      <c r="T34" s="105"/>
      <c r="U34" s="80"/>
      <c r="V34" s="72" t="str">
        <f>IF(ISBLANK($H34), "", SUMIF('06-26'!$J:$J,$H34,'06-26'!$H:$H))</f>
        <v/>
      </c>
      <c r="W34" s="81" t="str">
        <f t="shared" ref="W34:W41" si="0">IF(ISBLANK($H34), "", V34-U34)</f>
        <v/>
      </c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</row>
    <row r="35" spans="1:39" ht="19.5" customHeight="1" x14ac:dyDescent="0.6">
      <c r="A35" s="14"/>
      <c r="B35" s="17">
        <v>46186</v>
      </c>
      <c r="C35" s="18">
        <v>660</v>
      </c>
      <c r="D35" s="19" t="s">
        <v>75</v>
      </c>
      <c r="E35" s="23" t="s">
        <v>27</v>
      </c>
      <c r="F35" s="14"/>
      <c r="G35" s="24"/>
      <c r="H35" s="82"/>
      <c r="I35" s="83"/>
      <c r="J35" s="28"/>
      <c r="K35" s="14"/>
      <c r="L35" s="14"/>
      <c r="M35" s="104" t="s">
        <v>9</v>
      </c>
      <c r="N35" s="105"/>
      <c r="O35" s="74">
        <f>IF(ISBLANK($M35), "", SUMIF('06-26'!$E:$E,$M35,'06-26'!$C:$C))</f>
        <v>23196</v>
      </c>
      <c r="R35" s="75"/>
      <c r="S35" s="113"/>
      <c r="T35" s="105"/>
      <c r="U35" s="80"/>
      <c r="V35" s="72" t="str">
        <f>IF(ISBLANK($H35), "", SUMIF('06-26'!$J:$J,$H35,'06-26'!$H:$H))</f>
        <v/>
      </c>
      <c r="W35" s="81" t="str">
        <f t="shared" si="0"/>
        <v/>
      </c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</row>
    <row r="36" spans="1:39" ht="19.5" customHeight="1" x14ac:dyDescent="0.6">
      <c r="A36" s="14"/>
      <c r="B36" s="17">
        <v>46186</v>
      </c>
      <c r="C36" s="18">
        <v>1754</v>
      </c>
      <c r="D36" s="19" t="s">
        <v>76</v>
      </c>
      <c r="E36" s="23" t="s">
        <v>38</v>
      </c>
      <c r="F36" s="14"/>
      <c r="G36" s="24"/>
      <c r="H36" s="82"/>
      <c r="I36" s="83"/>
      <c r="J36" s="28"/>
      <c r="K36" s="14"/>
      <c r="L36" s="14"/>
      <c r="M36" s="104" t="s">
        <v>29</v>
      </c>
      <c r="N36" s="105"/>
      <c r="O36" s="74">
        <f>IF(ISBLANK($M36), "", SUMIF('06-26'!$E:$E,$M36,'06-26'!$C:$C))</f>
        <v>7859</v>
      </c>
      <c r="R36" s="75"/>
      <c r="S36" s="113"/>
      <c r="T36" s="105"/>
      <c r="U36" s="80"/>
      <c r="V36" s="72" t="str">
        <f>IF(ISBLANK($H36), "", SUMIF('06-26'!$J:$J,$H36,'06-26'!$H:$H))</f>
        <v/>
      </c>
      <c r="W36" s="81" t="str">
        <f t="shared" si="0"/>
        <v/>
      </c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</row>
    <row r="37" spans="1:39" ht="19.5" customHeight="1" x14ac:dyDescent="0.6">
      <c r="A37" s="14"/>
      <c r="B37" s="17">
        <v>46187</v>
      </c>
      <c r="C37" s="18">
        <f>250+170+40+50</f>
        <v>510</v>
      </c>
      <c r="D37" s="19" t="s">
        <v>26</v>
      </c>
      <c r="E37" s="23" t="s">
        <v>27</v>
      </c>
      <c r="F37" s="14"/>
      <c r="G37" s="24"/>
      <c r="H37" s="82"/>
      <c r="I37" s="83"/>
      <c r="J37" s="28"/>
      <c r="K37" s="14"/>
      <c r="L37" s="14"/>
      <c r="M37" s="104" t="s">
        <v>62</v>
      </c>
      <c r="N37" s="105"/>
      <c r="O37" s="74">
        <f>IF(ISBLANK($M37), "", SUMIF('06-26'!$E:$E,$M37,'06-26'!$C:$C))</f>
        <v>21514</v>
      </c>
      <c r="R37" s="75"/>
      <c r="S37" s="113"/>
      <c r="T37" s="105"/>
      <c r="U37" s="80"/>
      <c r="V37" s="72" t="str">
        <f>IF(ISBLANK($H37), "", SUMIF('06-26'!$J:$J,$H37,'06-26'!$H:$H))</f>
        <v/>
      </c>
      <c r="W37" s="81" t="str">
        <f t="shared" si="0"/>
        <v/>
      </c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</row>
    <row r="38" spans="1:39" ht="19.5" customHeight="1" x14ac:dyDescent="0.6">
      <c r="A38" s="14"/>
      <c r="B38" s="17">
        <v>46187</v>
      </c>
      <c r="C38" s="18">
        <v>350</v>
      </c>
      <c r="D38" s="19" t="s">
        <v>77</v>
      </c>
      <c r="E38" s="23" t="s">
        <v>38</v>
      </c>
      <c r="F38" s="14"/>
      <c r="G38" s="24"/>
      <c r="H38" s="82"/>
      <c r="I38" s="83"/>
      <c r="J38" s="28"/>
      <c r="K38" s="14"/>
      <c r="L38" s="14"/>
      <c r="M38" s="104" t="s">
        <v>19</v>
      </c>
      <c r="N38" s="105"/>
      <c r="O38" s="74">
        <f>IF(ISBLANK($M38), "", SUMIF('06-26'!$E:$E,$M38,'06-26'!$C:$C))</f>
        <v>23283</v>
      </c>
      <c r="R38" s="75"/>
      <c r="S38" s="113"/>
      <c r="T38" s="105"/>
      <c r="U38" s="80"/>
      <c r="V38" s="72" t="str">
        <f>IF(ISBLANK($H38), "", SUMIF('06-26'!$J:$J,$H38,'06-26'!$H:$H))</f>
        <v/>
      </c>
      <c r="W38" s="81" t="str">
        <f t="shared" si="0"/>
        <v/>
      </c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</row>
    <row r="39" spans="1:39" ht="19.5" customHeight="1" x14ac:dyDescent="0.6">
      <c r="A39" s="14"/>
      <c r="B39" s="17">
        <v>46189</v>
      </c>
      <c r="C39" s="18">
        <v>1170</v>
      </c>
      <c r="D39" s="19" t="s">
        <v>78</v>
      </c>
      <c r="E39" s="23" t="s">
        <v>41</v>
      </c>
      <c r="F39" s="14"/>
      <c r="G39" s="24"/>
      <c r="H39" s="82"/>
      <c r="I39" s="83"/>
      <c r="J39" s="28"/>
      <c r="K39" s="14"/>
      <c r="L39" s="14"/>
      <c r="M39" s="104" t="s">
        <v>16</v>
      </c>
      <c r="N39" s="105"/>
      <c r="O39" s="74">
        <f>IF(ISBLANK($M39), "", SUMIF('06-26'!$E:$E,$M39,'06-26'!$C:$C))</f>
        <v>279</v>
      </c>
      <c r="R39" s="75"/>
      <c r="S39" s="113"/>
      <c r="T39" s="105"/>
      <c r="U39" s="80"/>
      <c r="V39" s="72" t="str">
        <f>IF(ISBLANK($H39), "", SUMIF('06-26'!$J:$J,$H39,'06-26'!$H:$H))</f>
        <v/>
      </c>
      <c r="W39" s="81" t="str">
        <f t="shared" si="0"/>
        <v/>
      </c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</row>
    <row r="40" spans="1:39" ht="19.5" customHeight="1" x14ac:dyDescent="0.6">
      <c r="A40" s="14"/>
      <c r="B40" s="17">
        <v>46195</v>
      </c>
      <c r="C40" s="18">
        <f>510+560+10+10</f>
        <v>1090</v>
      </c>
      <c r="D40" s="19" t="s">
        <v>28</v>
      </c>
      <c r="E40" s="23" t="s">
        <v>29</v>
      </c>
      <c r="F40" s="14"/>
      <c r="G40" s="24"/>
      <c r="H40" s="82"/>
      <c r="I40" s="83"/>
      <c r="J40" s="28"/>
      <c r="K40" s="14"/>
      <c r="L40" s="14"/>
      <c r="M40" s="104" t="s">
        <v>13</v>
      </c>
      <c r="N40" s="105"/>
      <c r="O40" s="74">
        <f>IF(ISBLANK($M40), "", SUMIF('06-26'!$E:$E,$M40,'06-26'!$C:$C))</f>
        <v>26000</v>
      </c>
      <c r="R40" s="75"/>
      <c r="S40" s="113"/>
      <c r="T40" s="105"/>
      <c r="U40" s="80"/>
      <c r="V40" s="72" t="str">
        <f>IF(ISBLANK($H40), "", SUMIF('06-26'!$J:$J,$H40,'06-26'!$H:$H))</f>
        <v/>
      </c>
      <c r="W40" s="81" t="str">
        <f t="shared" si="0"/>
        <v/>
      </c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</row>
    <row r="41" spans="1:39" ht="19.5" customHeight="1" x14ac:dyDescent="0.6">
      <c r="A41" s="14"/>
      <c r="B41" s="17">
        <v>46195</v>
      </c>
      <c r="C41" s="18">
        <f>80+20+148+30+120</f>
        <v>398</v>
      </c>
      <c r="D41" s="19" t="s">
        <v>30</v>
      </c>
      <c r="E41" s="23" t="s">
        <v>29</v>
      </c>
      <c r="F41" s="14"/>
      <c r="G41" s="24"/>
      <c r="H41" s="82"/>
      <c r="I41" s="83"/>
      <c r="J41" s="28"/>
      <c r="K41" s="14"/>
      <c r="L41" s="14"/>
      <c r="M41" s="104" t="s">
        <v>21</v>
      </c>
      <c r="N41" s="105"/>
      <c r="O41" s="74">
        <f>IF(ISBLANK($M41), "", SUMIF('06-26'!$E:$E,$M41,'06-26'!$C:$C))</f>
        <v>265000</v>
      </c>
      <c r="R41" s="75"/>
      <c r="S41" s="113"/>
      <c r="T41" s="105"/>
      <c r="U41" s="80"/>
      <c r="V41" s="72" t="str">
        <f>IF(ISBLANK($H41), "", SUMIF('06-26'!$J:$J,$H41,'06-26'!$H:$H))</f>
        <v/>
      </c>
      <c r="W41" s="81" t="str">
        <f t="shared" si="0"/>
        <v/>
      </c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</row>
    <row r="42" spans="1:39" ht="19.5" customHeight="1" x14ac:dyDescent="0.6">
      <c r="A42" s="14"/>
      <c r="B42" s="17">
        <v>46195</v>
      </c>
      <c r="C42" s="18">
        <v>1020</v>
      </c>
      <c r="D42" s="19" t="s">
        <v>31</v>
      </c>
      <c r="E42" s="23" t="s">
        <v>29</v>
      </c>
      <c r="F42" s="14"/>
      <c r="G42" s="24"/>
      <c r="H42" s="82"/>
      <c r="I42" s="83"/>
      <c r="J42" s="28"/>
      <c r="K42" s="14"/>
      <c r="L42" s="14"/>
      <c r="M42" s="104" t="s">
        <v>63</v>
      </c>
      <c r="N42" s="105"/>
      <c r="O42" s="74">
        <f>IF(ISBLANK($M42), "", SUMIF('06-26'!$E:$E,$M42,'06-26'!$C:$C))</f>
        <v>0</v>
      </c>
      <c r="P42" s="72"/>
      <c r="Q42" s="81"/>
      <c r="R42" s="75"/>
      <c r="S42" s="84"/>
      <c r="T42" s="84"/>
      <c r="U42" s="80"/>
      <c r="V42" s="72"/>
      <c r="W42" s="81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</row>
    <row r="43" spans="1:39" ht="19.5" customHeight="1" x14ac:dyDescent="0.6">
      <c r="A43" s="14"/>
      <c r="B43" s="17">
        <v>46191</v>
      </c>
      <c r="C43" s="18">
        <v>450</v>
      </c>
      <c r="D43" s="19" t="s">
        <v>66</v>
      </c>
      <c r="E43" s="23" t="s">
        <v>38</v>
      </c>
      <c r="F43" s="14"/>
      <c r="G43" s="24"/>
      <c r="H43" s="82"/>
      <c r="I43" s="83"/>
      <c r="J43" s="28"/>
      <c r="K43" s="14"/>
      <c r="L43" s="14"/>
      <c r="M43" s="104" t="s">
        <v>64</v>
      </c>
      <c r="N43" s="105"/>
      <c r="O43" s="74">
        <f>IF(ISBLANK($M43), "", SUMIF('06-26'!$E:$E,$M43,'06-26'!$C:$C))</f>
        <v>20261</v>
      </c>
      <c r="P43" s="72"/>
      <c r="Q43" s="81"/>
      <c r="R43" s="75"/>
      <c r="S43" s="84"/>
      <c r="T43" s="84"/>
      <c r="U43" s="80"/>
      <c r="V43" s="72"/>
      <c r="W43" s="81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</row>
    <row r="44" spans="1:39" ht="19.5" customHeight="1" x14ac:dyDescent="0.6">
      <c r="A44" s="14"/>
      <c r="B44" s="17">
        <v>46192</v>
      </c>
      <c r="C44" s="18">
        <v>20261</v>
      </c>
      <c r="D44" s="19" t="s">
        <v>79</v>
      </c>
      <c r="E44" s="23" t="s">
        <v>64</v>
      </c>
      <c r="F44" s="14"/>
      <c r="G44" s="24"/>
      <c r="H44" s="82"/>
      <c r="I44" s="83"/>
      <c r="J44" s="28"/>
      <c r="K44" s="14"/>
      <c r="L44" s="14"/>
      <c r="M44" s="104"/>
      <c r="N44" s="105"/>
      <c r="O44" s="85"/>
      <c r="P44" s="72"/>
      <c r="Q44" s="81"/>
      <c r="R44" s="75"/>
      <c r="S44" s="113"/>
      <c r="T44" s="105"/>
      <c r="U44" s="80"/>
      <c r="V44" s="72" t="str">
        <f>IF(ISBLANK($H44), "", SUMIF('06-26'!$J:$J,$H44,'06-26'!$H:$H))</f>
        <v/>
      </c>
      <c r="W44" s="81" t="str">
        <f>IF(ISBLANK($H44), "", V44-U44)</f>
        <v/>
      </c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</row>
    <row r="45" spans="1:39" ht="19.5" customHeight="1" x14ac:dyDescent="0.35">
      <c r="A45" s="14"/>
      <c r="B45" s="17">
        <v>46193</v>
      </c>
      <c r="C45" s="18">
        <v>1019</v>
      </c>
      <c r="D45" s="19" t="s">
        <v>35</v>
      </c>
      <c r="E45" s="23" t="s">
        <v>27</v>
      </c>
      <c r="F45" s="14"/>
      <c r="G45" s="24"/>
      <c r="H45" s="82"/>
      <c r="I45" s="83"/>
      <c r="J45" s="28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</row>
    <row r="46" spans="1:39" ht="19.5" customHeight="1" x14ac:dyDescent="0.35">
      <c r="A46" s="14"/>
      <c r="B46" s="86">
        <v>46202</v>
      </c>
      <c r="C46" s="18">
        <v>430</v>
      </c>
      <c r="D46" s="19" t="s">
        <v>45</v>
      </c>
      <c r="E46" s="23" t="s">
        <v>38</v>
      </c>
      <c r="F46" s="14"/>
      <c r="G46" s="24"/>
      <c r="H46" s="82"/>
      <c r="I46" s="83"/>
      <c r="J46" s="28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</row>
    <row r="47" spans="1:39" ht="19.5" customHeight="1" x14ac:dyDescent="0.35">
      <c r="A47" s="14"/>
      <c r="B47" s="86">
        <v>46194</v>
      </c>
      <c r="C47" s="18">
        <v>239</v>
      </c>
      <c r="D47" s="19" t="s">
        <v>80</v>
      </c>
      <c r="E47" s="23" t="s">
        <v>38</v>
      </c>
      <c r="F47" s="14"/>
      <c r="G47" s="24"/>
      <c r="H47" s="82"/>
      <c r="I47" s="83"/>
      <c r="J47" s="28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</row>
    <row r="48" spans="1:39" ht="19.5" customHeight="1" x14ac:dyDescent="0.35">
      <c r="A48" s="14"/>
      <c r="B48" s="86">
        <v>46194</v>
      </c>
      <c r="C48" s="18">
        <v>640</v>
      </c>
      <c r="D48" s="19" t="s">
        <v>81</v>
      </c>
      <c r="E48" s="23" t="s">
        <v>38</v>
      </c>
      <c r="F48" s="14"/>
      <c r="G48" s="24"/>
      <c r="H48" s="82"/>
      <c r="I48" s="83"/>
      <c r="J48" s="28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</row>
    <row r="49" spans="1:39" ht="19.5" customHeight="1" x14ac:dyDescent="0.35">
      <c r="A49" s="14"/>
      <c r="B49" s="86">
        <v>46194</v>
      </c>
      <c r="C49" s="18">
        <v>690</v>
      </c>
      <c r="D49" s="19" t="s">
        <v>82</v>
      </c>
      <c r="E49" s="23" t="s">
        <v>25</v>
      </c>
      <c r="F49" s="14"/>
      <c r="G49" s="24"/>
      <c r="H49" s="82"/>
      <c r="I49" s="83"/>
      <c r="J49" s="28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</row>
    <row r="50" spans="1:39" ht="19.5" customHeight="1" x14ac:dyDescent="0.35">
      <c r="A50" s="14"/>
      <c r="B50" s="86">
        <v>46194</v>
      </c>
      <c r="C50" s="18">
        <v>343</v>
      </c>
      <c r="D50" s="19" t="s">
        <v>83</v>
      </c>
      <c r="E50" s="23" t="s">
        <v>38</v>
      </c>
      <c r="F50" s="14"/>
      <c r="G50" s="24"/>
      <c r="H50" s="82"/>
      <c r="I50" s="83"/>
      <c r="J50" s="28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</row>
    <row r="51" spans="1:39" ht="19.5" customHeight="1" x14ac:dyDescent="0.35">
      <c r="A51" s="14"/>
      <c r="B51" s="86">
        <v>46193</v>
      </c>
      <c r="C51" s="18">
        <v>430</v>
      </c>
      <c r="D51" s="19" t="s">
        <v>84</v>
      </c>
      <c r="E51" s="23" t="s">
        <v>25</v>
      </c>
      <c r="F51" s="14"/>
      <c r="G51" s="24"/>
      <c r="H51" s="82"/>
      <c r="I51" s="83"/>
      <c r="J51" s="28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</row>
    <row r="52" spans="1:39" ht="19.5" customHeight="1" x14ac:dyDescent="0.35">
      <c r="A52" s="14"/>
      <c r="B52" s="86">
        <v>46199</v>
      </c>
      <c r="C52" s="18">
        <v>378</v>
      </c>
      <c r="D52" s="19" t="s">
        <v>35</v>
      </c>
      <c r="E52" s="23" t="s">
        <v>27</v>
      </c>
      <c r="F52" s="14"/>
      <c r="G52" s="24"/>
      <c r="H52" s="82"/>
      <c r="I52" s="83"/>
      <c r="J52" s="28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</row>
    <row r="53" spans="1:39" ht="19.5" customHeight="1" x14ac:dyDescent="0.35">
      <c r="A53" s="14"/>
      <c r="B53" s="17">
        <v>46198</v>
      </c>
      <c r="C53" s="18">
        <v>110</v>
      </c>
      <c r="D53" s="19" t="s">
        <v>85</v>
      </c>
      <c r="E53" s="23" t="s">
        <v>25</v>
      </c>
      <c r="F53" s="14"/>
      <c r="G53" s="24"/>
      <c r="H53" s="82"/>
      <c r="I53" s="83"/>
      <c r="J53" s="28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</row>
    <row r="54" spans="1:39" ht="19.5" customHeight="1" x14ac:dyDescent="0.35">
      <c r="A54" s="14"/>
      <c r="B54" s="17">
        <v>46199</v>
      </c>
      <c r="C54" s="18">
        <v>345</v>
      </c>
      <c r="D54" s="19" t="s">
        <v>86</v>
      </c>
      <c r="E54" s="23" t="s">
        <v>25</v>
      </c>
      <c r="F54" s="14"/>
      <c r="G54" s="24"/>
      <c r="H54" s="82"/>
      <c r="I54" s="83"/>
      <c r="J54" s="28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</row>
    <row r="55" spans="1:39" ht="19.5" customHeight="1" x14ac:dyDescent="0.35">
      <c r="A55" s="14"/>
      <c r="B55" s="17">
        <v>46199</v>
      </c>
      <c r="C55" s="18">
        <v>2763</v>
      </c>
      <c r="D55" s="19" t="s">
        <v>87</v>
      </c>
      <c r="E55" s="23" t="s">
        <v>9</v>
      </c>
      <c r="F55" s="14"/>
      <c r="G55" s="24"/>
      <c r="H55" s="82"/>
      <c r="I55" s="83"/>
      <c r="J55" s="28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</row>
    <row r="56" spans="1:39" ht="19.5" customHeight="1" x14ac:dyDescent="0.35">
      <c r="A56" s="14"/>
      <c r="B56" s="17">
        <v>46201</v>
      </c>
      <c r="C56" s="18">
        <f>270+40+60+303</f>
        <v>673</v>
      </c>
      <c r="D56" s="19" t="s">
        <v>45</v>
      </c>
      <c r="E56" s="23" t="s">
        <v>38</v>
      </c>
      <c r="F56" s="14"/>
      <c r="G56" s="24"/>
      <c r="H56" s="82"/>
      <c r="I56" s="83"/>
      <c r="J56" s="28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</row>
    <row r="57" spans="1:39" ht="19.5" customHeight="1" x14ac:dyDescent="0.35">
      <c r="A57" s="14"/>
      <c r="B57" s="17"/>
      <c r="C57" s="18"/>
      <c r="D57" s="19"/>
      <c r="E57" s="23"/>
      <c r="F57" s="14"/>
      <c r="G57" s="24"/>
      <c r="H57" s="82"/>
      <c r="I57" s="83"/>
      <c r="J57" s="28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</row>
    <row r="58" spans="1:39" ht="19.5" customHeight="1" x14ac:dyDescent="0.35">
      <c r="A58" s="14"/>
      <c r="B58" s="17"/>
      <c r="C58" s="18"/>
      <c r="D58" s="19"/>
      <c r="E58" s="23"/>
      <c r="F58" s="14"/>
      <c r="G58" s="87"/>
      <c r="H58" s="82"/>
      <c r="I58" s="83"/>
      <c r="J58" s="28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</row>
    <row r="59" spans="1:39" ht="19.5" customHeight="1" x14ac:dyDescent="0.35">
      <c r="A59" s="14"/>
      <c r="B59" s="17"/>
      <c r="C59" s="18"/>
      <c r="D59" s="19"/>
      <c r="E59" s="23"/>
      <c r="F59" s="14"/>
      <c r="G59" s="87"/>
      <c r="H59" s="82"/>
      <c r="I59" s="83"/>
      <c r="J59" s="28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</row>
    <row r="60" spans="1:39" ht="19.5" customHeight="1" x14ac:dyDescent="0.35">
      <c r="A60" s="14"/>
      <c r="B60" s="17"/>
      <c r="C60" s="18"/>
      <c r="D60" s="19"/>
      <c r="E60" s="23"/>
      <c r="F60" s="14"/>
      <c r="G60" s="87"/>
      <c r="H60" s="82"/>
      <c r="I60" s="83"/>
      <c r="J60" s="28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</row>
    <row r="61" spans="1:39" ht="19.5" customHeight="1" x14ac:dyDescent="0.35">
      <c r="A61" s="14"/>
      <c r="B61" s="17"/>
      <c r="C61" s="18"/>
      <c r="D61" s="19"/>
      <c r="E61" s="23"/>
      <c r="F61" s="14"/>
      <c r="G61" s="87"/>
      <c r="H61" s="82"/>
      <c r="I61" s="83"/>
      <c r="J61" s="28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</row>
    <row r="62" spans="1:39" ht="19.5" customHeight="1" x14ac:dyDescent="0.35">
      <c r="A62" s="14"/>
      <c r="B62" s="17"/>
      <c r="C62" s="18"/>
      <c r="D62" s="19"/>
      <c r="E62" s="23"/>
      <c r="F62" s="14"/>
      <c r="G62" s="87"/>
      <c r="H62" s="82"/>
      <c r="I62" s="83"/>
      <c r="J62" s="28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</row>
    <row r="63" spans="1:39" ht="19.5" customHeight="1" x14ac:dyDescent="0.35">
      <c r="A63" s="14"/>
      <c r="B63" s="17"/>
      <c r="C63" s="18"/>
      <c r="D63" s="19"/>
      <c r="E63" s="23"/>
      <c r="F63" s="14"/>
      <c r="G63" s="87"/>
      <c r="H63" s="82"/>
      <c r="I63" s="83"/>
      <c r="J63" s="28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</row>
    <row r="64" spans="1:39" ht="19.5" customHeight="1" x14ac:dyDescent="0.35">
      <c r="A64" s="14"/>
      <c r="B64" s="17"/>
      <c r="C64" s="18"/>
      <c r="D64" s="19"/>
      <c r="E64" s="23"/>
      <c r="F64" s="14"/>
      <c r="G64" s="87"/>
      <c r="H64" s="82"/>
      <c r="I64" s="83"/>
      <c r="J64" s="28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</row>
    <row r="65" spans="1:39" ht="19.5" customHeight="1" x14ac:dyDescent="0.35">
      <c r="A65" s="14"/>
      <c r="B65" s="17"/>
      <c r="C65" s="18"/>
      <c r="D65" s="19"/>
      <c r="E65" s="23"/>
      <c r="F65" s="14"/>
      <c r="G65" s="87"/>
      <c r="H65" s="82"/>
      <c r="I65" s="83"/>
      <c r="J65" s="28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</row>
    <row r="66" spans="1:39" ht="19.5" customHeight="1" x14ac:dyDescent="0.35">
      <c r="A66" s="14"/>
      <c r="B66" s="17"/>
      <c r="C66" s="18"/>
      <c r="D66" s="19"/>
      <c r="E66" s="23"/>
      <c r="F66" s="14"/>
      <c r="G66" s="87"/>
      <c r="H66" s="82"/>
      <c r="I66" s="83"/>
      <c r="J66" s="28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</row>
    <row r="67" spans="1:39" ht="19.5" customHeight="1" x14ac:dyDescent="0.35">
      <c r="A67" s="14"/>
      <c r="B67" s="17"/>
      <c r="C67" s="18"/>
      <c r="D67" s="19"/>
      <c r="E67" s="23"/>
      <c r="F67" s="14"/>
      <c r="G67" s="87"/>
      <c r="H67" s="82"/>
      <c r="I67" s="83"/>
      <c r="J67" s="28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</row>
    <row r="68" spans="1:39" ht="19.5" customHeight="1" x14ac:dyDescent="0.35">
      <c r="A68" s="14"/>
      <c r="B68" s="17"/>
      <c r="C68" s="18"/>
      <c r="D68" s="19"/>
      <c r="E68" s="23"/>
      <c r="F68" s="14"/>
      <c r="G68" s="87"/>
      <c r="H68" s="82"/>
      <c r="I68" s="83"/>
      <c r="J68" s="28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</row>
    <row r="69" spans="1:39" ht="19.5" customHeight="1" x14ac:dyDescent="0.35">
      <c r="A69" s="14"/>
      <c r="B69" s="17"/>
      <c r="C69" s="18"/>
      <c r="D69" s="19"/>
      <c r="E69" s="23"/>
      <c r="F69" s="14"/>
      <c r="G69" s="87"/>
      <c r="H69" s="82"/>
      <c r="I69" s="83"/>
      <c r="J69" s="28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</row>
    <row r="70" spans="1:39" ht="19.5" customHeight="1" x14ac:dyDescent="0.35">
      <c r="A70" s="14"/>
      <c r="B70" s="17"/>
      <c r="C70" s="18"/>
      <c r="D70" s="19"/>
      <c r="E70" s="23"/>
      <c r="F70" s="14"/>
      <c r="G70" s="87"/>
      <c r="H70" s="82"/>
      <c r="I70" s="83"/>
      <c r="J70" s="28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</row>
    <row r="71" spans="1:39" ht="19.5" customHeight="1" x14ac:dyDescent="0.35">
      <c r="A71" s="14"/>
      <c r="B71" s="17"/>
      <c r="C71" s="18"/>
      <c r="D71" s="19"/>
      <c r="E71" s="23"/>
      <c r="F71" s="14"/>
      <c r="G71" s="87"/>
      <c r="H71" s="82"/>
      <c r="I71" s="83"/>
      <c r="J71" s="28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</row>
    <row r="72" spans="1:39" ht="19.5" customHeight="1" x14ac:dyDescent="0.35">
      <c r="A72" s="14"/>
      <c r="B72" s="17"/>
      <c r="C72" s="18"/>
      <c r="D72" s="19"/>
      <c r="E72" s="23"/>
      <c r="F72" s="14"/>
      <c r="G72" s="87"/>
      <c r="H72" s="82"/>
      <c r="I72" s="83"/>
      <c r="J72" s="28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</row>
    <row r="73" spans="1:39" ht="19.5" customHeight="1" x14ac:dyDescent="0.35">
      <c r="A73" s="14"/>
      <c r="B73" s="17"/>
      <c r="C73" s="18"/>
      <c r="D73" s="19"/>
      <c r="E73" s="23"/>
      <c r="F73" s="14"/>
      <c r="G73" s="87"/>
      <c r="H73" s="82"/>
      <c r="I73" s="83"/>
      <c r="J73" s="28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</row>
    <row r="74" spans="1:39" ht="19.5" customHeight="1" x14ac:dyDescent="0.35">
      <c r="A74" s="14"/>
      <c r="B74" s="17"/>
      <c r="C74" s="18"/>
      <c r="D74" s="19"/>
      <c r="E74" s="23"/>
      <c r="F74" s="14"/>
      <c r="G74" s="87"/>
      <c r="H74" s="82"/>
      <c r="I74" s="83"/>
      <c r="J74" s="28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</row>
    <row r="75" spans="1:39" ht="19.5" customHeight="1" x14ac:dyDescent="0.35">
      <c r="A75" s="14"/>
      <c r="B75" s="17"/>
      <c r="C75" s="18"/>
      <c r="D75" s="19"/>
      <c r="E75" s="23"/>
      <c r="F75" s="14"/>
      <c r="G75" s="87"/>
      <c r="H75" s="82"/>
      <c r="I75" s="83"/>
      <c r="J75" s="28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</row>
    <row r="76" spans="1:39" ht="19.5" customHeight="1" x14ac:dyDescent="0.35">
      <c r="A76" s="14"/>
      <c r="B76" s="17"/>
      <c r="C76" s="18"/>
      <c r="D76" s="19"/>
      <c r="E76" s="23"/>
      <c r="F76" s="14"/>
      <c r="G76" s="87"/>
      <c r="H76" s="82"/>
      <c r="I76" s="83"/>
      <c r="J76" s="28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</row>
    <row r="77" spans="1:39" ht="19.5" customHeight="1" x14ac:dyDescent="0.35">
      <c r="A77" s="14"/>
      <c r="B77" s="17"/>
      <c r="C77" s="18"/>
      <c r="D77" s="19"/>
      <c r="E77" s="23"/>
      <c r="F77" s="14"/>
      <c r="G77" s="87"/>
      <c r="H77" s="82"/>
      <c r="I77" s="83"/>
      <c r="J77" s="28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</row>
    <row r="78" spans="1:39" ht="19.5" customHeight="1" x14ac:dyDescent="0.35">
      <c r="A78" s="14"/>
      <c r="B78" s="17"/>
      <c r="C78" s="18"/>
      <c r="D78" s="88"/>
      <c r="E78" s="28"/>
      <c r="F78" s="14"/>
      <c r="G78" s="87"/>
      <c r="H78" s="82"/>
      <c r="I78" s="83"/>
      <c r="J78" s="28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</row>
    <row r="79" spans="1:39" ht="19.5" customHeight="1" x14ac:dyDescent="0.35">
      <c r="A79" s="14"/>
      <c r="B79" s="17"/>
      <c r="C79" s="18"/>
      <c r="D79" s="88"/>
      <c r="E79" s="28"/>
      <c r="F79" s="14"/>
      <c r="G79" s="87"/>
      <c r="H79" s="82"/>
      <c r="I79" s="83"/>
      <c r="J79" s="28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</row>
    <row r="80" spans="1:39" ht="19.5" customHeight="1" x14ac:dyDescent="0.35">
      <c r="A80" s="14"/>
      <c r="B80" s="17"/>
      <c r="C80" s="18"/>
      <c r="D80" s="88"/>
      <c r="E80" s="28"/>
      <c r="F80" s="14"/>
      <c r="G80" s="87"/>
      <c r="H80" s="82"/>
      <c r="I80" s="83"/>
      <c r="J80" s="28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</row>
    <row r="81" spans="1:39" ht="19.5" customHeight="1" x14ac:dyDescent="0.35">
      <c r="A81" s="14"/>
      <c r="B81" s="17"/>
      <c r="C81" s="18"/>
      <c r="D81" s="88"/>
      <c r="E81" s="28"/>
      <c r="F81" s="14"/>
      <c r="G81" s="87"/>
      <c r="H81" s="82"/>
      <c r="I81" s="83"/>
      <c r="J81" s="28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</row>
  </sheetData>
  <mergeCells count="46">
    <mergeCell ref="S44:T44"/>
    <mergeCell ref="S33:T33"/>
    <mergeCell ref="S34:T34"/>
    <mergeCell ref="S35:T35"/>
    <mergeCell ref="S36:T36"/>
    <mergeCell ref="S37:T37"/>
    <mergeCell ref="S38:T38"/>
    <mergeCell ref="S39:T39"/>
    <mergeCell ref="M43:N43"/>
    <mergeCell ref="M44:N44"/>
    <mergeCell ref="M32:N32"/>
    <mergeCell ref="M33:N33"/>
    <mergeCell ref="M34:N34"/>
    <mergeCell ref="M35:N35"/>
    <mergeCell ref="M36:N36"/>
    <mergeCell ref="M37:N37"/>
    <mergeCell ref="M38:N38"/>
    <mergeCell ref="S32:T32"/>
    <mergeCell ref="M39:N39"/>
    <mergeCell ref="M40:N40"/>
    <mergeCell ref="M41:N41"/>
    <mergeCell ref="M42:N42"/>
    <mergeCell ref="S40:T40"/>
    <mergeCell ref="S41:T41"/>
    <mergeCell ref="M29:N29"/>
    <mergeCell ref="S29:T29"/>
    <mergeCell ref="M30:N30"/>
    <mergeCell ref="S30:T30"/>
    <mergeCell ref="M31:N31"/>
    <mergeCell ref="S31:T31"/>
    <mergeCell ref="M23:N23"/>
    <mergeCell ref="U23:W23"/>
    <mergeCell ref="M24:N24"/>
    <mergeCell ref="M27:N27"/>
    <mergeCell ref="M28:N28"/>
    <mergeCell ref="T18:V18"/>
    <mergeCell ref="T19:V19"/>
    <mergeCell ref="S27:T27"/>
    <mergeCell ref="S28:T28"/>
    <mergeCell ref="S20:W20"/>
    <mergeCell ref="U21:W21"/>
    <mergeCell ref="B1:J1"/>
    <mergeCell ref="M3:P4"/>
    <mergeCell ref="U3:V3"/>
    <mergeCell ref="T16:V16"/>
    <mergeCell ref="T17:V17"/>
  </mergeCells>
  <conditionalFormatting sqref="M27:N44 S27:S44">
    <cfRule type="notContainsBlanks" dxfId="14" priority="1">
      <formula>LEN(TRIM(M27))&gt;0</formula>
    </cfRule>
  </conditionalFormatting>
  <conditionalFormatting sqref="O44">
    <cfRule type="expression" dxfId="13" priority="2">
      <formula>NOT(ISBLANK(M44))</formula>
    </cfRule>
  </conditionalFormatting>
  <conditionalFormatting sqref="U34:U44">
    <cfRule type="expression" dxfId="12" priority="3">
      <formula>NOT(ISBLANK(S34))</formula>
    </cfRule>
  </conditionalFormatting>
  <conditionalFormatting sqref="W34:W44 Q42:Q44">
    <cfRule type="cellIs" dxfId="11" priority="4" operator="lessThan">
      <formula>0</formula>
    </cfRule>
    <cfRule type="cellIs" dxfId="10" priority="5" operator="equal">
      <formula>0</formula>
    </cfRule>
  </conditionalFormatting>
  <dataValidations count="2">
    <dataValidation type="list" allowBlank="1" sqref="E5:E9 E13 E17:E18 E22:E81" xr:uid="{00000000-0002-0000-0100-000001000000}">
      <formula1>$M$28:$N$43</formula1>
    </dataValidation>
    <dataValidation type="list" allowBlank="1" sqref="J5:J81" xr:uid="{00000000-0002-0000-0100-000002000000}">
      <formula1>$S$27:$T$33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0000000}">
          <x14:formula1>
            <xm:f>'11-25'!#REF!</xm:f>
          </x14:formula1>
          <xm:sqref>E14:E16 E19:E21</xm:sqref>
        </x14:dataValidation>
        <x14:dataValidation type="list" allowBlank="1" xr:uid="{00000000-0002-0000-0100-000003000000}">
          <x14:formula1>
            <xm:f>'07-25'!#REF!</xm:f>
          </x14:formula1>
          <xm:sqref>E10:E12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34343"/>
    <outlinePr summaryBelow="0" summaryRight="0"/>
  </sheetPr>
  <dimension ref="A1:AM81"/>
  <sheetViews>
    <sheetView showGridLines="0" workbookViewId="0"/>
  </sheetViews>
  <sheetFormatPr defaultColWidth="12.59765625" defaultRowHeight="15.75" customHeight="1" x14ac:dyDescent="0.35"/>
  <cols>
    <col min="1" max="1" width="5.1328125" customWidth="1"/>
    <col min="2" max="2" width="10.46484375" customWidth="1"/>
    <col min="3" max="3" width="10" customWidth="1"/>
    <col min="4" max="4" width="20.86328125" customWidth="1"/>
    <col min="5" max="5" width="16.265625" customWidth="1"/>
    <col min="6" max="6" width="5.1328125" customWidth="1"/>
    <col min="9" max="9" width="13.265625" customWidth="1"/>
    <col min="11" max="12" width="6.59765625" customWidth="1"/>
    <col min="13" max="13" width="11.59765625" customWidth="1"/>
    <col min="14" max="14" width="10.86328125" customWidth="1"/>
    <col min="15" max="15" width="11.86328125" customWidth="1"/>
    <col min="16" max="16" width="19.3984375" customWidth="1"/>
    <col min="17" max="19" width="6.59765625" customWidth="1"/>
    <col min="20" max="20" width="19.1328125" customWidth="1"/>
    <col min="21" max="21" width="10.73046875" customWidth="1"/>
    <col min="22" max="39" width="6.59765625" customWidth="1"/>
  </cols>
  <sheetData>
    <row r="1" spans="1:39" ht="33" customHeight="1" x14ac:dyDescent="0.35">
      <c r="A1" s="1"/>
      <c r="B1" s="94" t="s">
        <v>88</v>
      </c>
      <c r="C1" s="95"/>
      <c r="D1" s="95"/>
      <c r="E1" s="95"/>
      <c r="F1" s="95"/>
      <c r="G1" s="95"/>
      <c r="H1" s="95"/>
      <c r="I1" s="95"/>
      <c r="J1" s="9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48" customHeight="1" x14ac:dyDescent="0.95">
      <c r="A2" s="2"/>
      <c r="B2" s="3" t="s">
        <v>1</v>
      </c>
      <c r="C2" s="2"/>
      <c r="D2" s="2"/>
      <c r="E2" s="2"/>
      <c r="F2" s="2"/>
      <c r="G2" s="3" t="s">
        <v>2</v>
      </c>
      <c r="H2" s="2"/>
      <c r="I2" s="2"/>
      <c r="J2" s="2"/>
      <c r="K2" s="2"/>
      <c r="L2" s="4"/>
      <c r="M2" s="5"/>
      <c r="N2" s="5"/>
      <c r="O2" s="5"/>
      <c r="P2" s="6"/>
      <c r="Q2" s="7"/>
      <c r="R2" s="8"/>
      <c r="S2" s="7"/>
      <c r="T2" s="7"/>
      <c r="U2" s="7"/>
      <c r="V2" s="7"/>
      <c r="W2" s="7"/>
      <c r="X2" s="7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39" ht="12" customHeight="1" x14ac:dyDescent="0.6">
      <c r="A3" s="4"/>
      <c r="B3" s="9"/>
      <c r="C3" s="9"/>
      <c r="D3" s="9"/>
      <c r="E3" s="9"/>
      <c r="F3" s="4"/>
      <c r="G3" s="9"/>
      <c r="H3" s="9"/>
      <c r="I3" s="9"/>
      <c r="J3" s="9"/>
      <c r="K3" s="4"/>
      <c r="L3" s="10"/>
      <c r="M3" s="96" t="s">
        <v>3</v>
      </c>
      <c r="N3" s="95"/>
      <c r="O3" s="95"/>
      <c r="P3" s="95"/>
      <c r="Q3" s="7"/>
      <c r="R3" s="11"/>
      <c r="S3" s="7"/>
      <c r="T3" s="12"/>
      <c r="U3" s="97"/>
      <c r="V3" s="95"/>
      <c r="W3" s="13"/>
      <c r="X3" s="7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39" ht="24" customHeight="1" x14ac:dyDescent="0.35">
      <c r="A4" s="14"/>
      <c r="B4" s="15" t="s">
        <v>4</v>
      </c>
      <c r="C4" s="15" t="s">
        <v>5</v>
      </c>
      <c r="D4" s="15" t="s">
        <v>6</v>
      </c>
      <c r="E4" s="15" t="s">
        <v>7</v>
      </c>
      <c r="F4" s="14"/>
      <c r="G4" s="15" t="s">
        <v>4</v>
      </c>
      <c r="H4" s="15" t="s">
        <v>5</v>
      </c>
      <c r="I4" s="15" t="s">
        <v>6</v>
      </c>
      <c r="J4" s="15" t="s">
        <v>7</v>
      </c>
      <c r="K4" s="14"/>
      <c r="L4" s="10"/>
      <c r="M4" s="95"/>
      <c r="N4" s="95"/>
      <c r="O4" s="95"/>
      <c r="P4" s="95"/>
      <c r="Q4" s="7"/>
      <c r="R4" s="11"/>
      <c r="S4" s="7"/>
      <c r="T4" s="16"/>
      <c r="U4" s="7"/>
      <c r="V4" s="7"/>
      <c r="W4" s="11"/>
      <c r="X4" s="7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</row>
    <row r="5" spans="1:39" ht="19.5" customHeight="1" x14ac:dyDescent="0.35">
      <c r="A5" s="14"/>
      <c r="B5" s="17">
        <v>46143</v>
      </c>
      <c r="C5" s="18">
        <v>794</v>
      </c>
      <c r="D5" s="19" t="s">
        <v>8</v>
      </c>
      <c r="E5" s="20" t="s">
        <v>9</v>
      </c>
      <c r="F5" s="14"/>
      <c r="G5" s="17">
        <v>46143</v>
      </c>
      <c r="H5" s="18">
        <v>267000</v>
      </c>
      <c r="I5" s="21" t="s">
        <v>10</v>
      </c>
      <c r="J5" s="20" t="s">
        <v>11</v>
      </c>
      <c r="K5" s="14"/>
      <c r="L5" s="7"/>
      <c r="M5" s="22"/>
      <c r="N5" s="22"/>
      <c r="O5" s="22"/>
      <c r="P5" s="22"/>
      <c r="Q5" s="7"/>
      <c r="R5" s="11"/>
      <c r="S5" s="7"/>
      <c r="T5" s="16"/>
      <c r="U5" s="7"/>
      <c r="V5" s="7"/>
      <c r="W5" s="11"/>
      <c r="X5" s="7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</row>
    <row r="6" spans="1:39" ht="19.5" customHeight="1" x14ac:dyDescent="0.35">
      <c r="A6" s="14"/>
      <c r="B6" s="17">
        <v>46143</v>
      </c>
      <c r="C6" s="18">
        <v>10000</v>
      </c>
      <c r="D6" s="19" t="s">
        <v>12</v>
      </c>
      <c r="E6" s="23" t="s">
        <v>13</v>
      </c>
      <c r="F6" s="14"/>
      <c r="G6" s="24"/>
      <c r="H6" s="25"/>
      <c r="I6" s="26"/>
      <c r="J6" s="23"/>
      <c r="K6" s="14"/>
      <c r="L6" s="7"/>
      <c r="M6" s="22"/>
      <c r="N6" s="22"/>
      <c r="O6" s="22"/>
      <c r="P6" s="22"/>
      <c r="Q6" s="7"/>
      <c r="R6" s="11"/>
      <c r="S6" s="7"/>
      <c r="T6" s="16"/>
      <c r="U6" s="7"/>
      <c r="V6" s="7"/>
      <c r="W6" s="11"/>
      <c r="X6" s="7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</row>
    <row r="7" spans="1:39" ht="19.5" customHeight="1" x14ac:dyDescent="0.35">
      <c r="A7" s="14"/>
      <c r="B7" s="17">
        <v>46143</v>
      </c>
      <c r="C7" s="18">
        <v>16000</v>
      </c>
      <c r="D7" s="27" t="s">
        <v>14</v>
      </c>
      <c r="E7" s="23" t="s">
        <v>13</v>
      </c>
      <c r="F7" s="14"/>
      <c r="G7" s="24"/>
      <c r="H7" s="25"/>
      <c r="I7" s="26"/>
      <c r="J7" s="23"/>
      <c r="K7" s="14"/>
      <c r="L7" s="7"/>
      <c r="M7" s="22"/>
      <c r="N7" s="22"/>
      <c r="O7" s="22"/>
      <c r="P7" s="22"/>
      <c r="Q7" s="7"/>
      <c r="R7" s="11"/>
      <c r="S7" s="7"/>
      <c r="T7" s="16"/>
      <c r="U7" s="7"/>
      <c r="V7" s="7"/>
      <c r="W7" s="11"/>
      <c r="X7" s="7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</row>
    <row r="8" spans="1:39" ht="19.5" customHeight="1" x14ac:dyDescent="0.35">
      <c r="A8" s="14"/>
      <c r="B8" s="17">
        <v>46143</v>
      </c>
      <c r="C8" s="18">
        <v>279</v>
      </c>
      <c r="D8" s="19" t="s">
        <v>15</v>
      </c>
      <c r="E8" s="23" t="s">
        <v>16</v>
      </c>
      <c r="F8" s="14"/>
      <c r="G8" s="24"/>
      <c r="H8" s="25"/>
      <c r="I8" s="26"/>
      <c r="J8" s="23"/>
      <c r="K8" s="14"/>
      <c r="L8" s="7"/>
      <c r="M8" s="22"/>
      <c r="N8" s="22"/>
      <c r="O8" s="22"/>
      <c r="P8" s="22"/>
      <c r="Q8" s="7"/>
      <c r="R8" s="11"/>
      <c r="S8" s="7"/>
      <c r="T8" s="16"/>
      <c r="U8" s="7"/>
      <c r="V8" s="7"/>
      <c r="W8" s="11"/>
      <c r="X8" s="7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</row>
    <row r="9" spans="1:39" ht="19.5" customHeight="1" x14ac:dyDescent="0.35">
      <c r="A9" s="14"/>
      <c r="B9" s="17">
        <v>46143</v>
      </c>
      <c r="C9" s="18">
        <v>609</v>
      </c>
      <c r="D9" s="19" t="s">
        <v>17</v>
      </c>
      <c r="E9" s="20" t="s">
        <v>9</v>
      </c>
      <c r="F9" s="14"/>
      <c r="G9" s="24"/>
      <c r="H9" s="25"/>
      <c r="I9" s="26"/>
      <c r="J9" s="23"/>
      <c r="K9" s="14"/>
      <c r="L9" s="7"/>
      <c r="M9" s="22"/>
      <c r="N9" s="22"/>
      <c r="O9" s="22"/>
      <c r="P9" s="22"/>
      <c r="Q9" s="7"/>
      <c r="R9" s="11"/>
      <c r="S9" s="7"/>
      <c r="T9" s="16"/>
      <c r="U9" s="7"/>
      <c r="V9" s="7"/>
      <c r="W9" s="11"/>
      <c r="X9" s="7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</row>
    <row r="10" spans="1:39" ht="19.5" customHeight="1" x14ac:dyDescent="0.35">
      <c r="A10" s="14"/>
      <c r="B10" s="17">
        <v>46143</v>
      </c>
      <c r="C10" s="18">
        <v>9600</v>
      </c>
      <c r="D10" s="19" t="s">
        <v>18</v>
      </c>
      <c r="E10" s="20" t="s">
        <v>19</v>
      </c>
      <c r="F10" s="14"/>
      <c r="G10" s="24"/>
      <c r="H10" s="25"/>
      <c r="I10" s="26"/>
      <c r="J10" s="23"/>
      <c r="K10" s="14"/>
      <c r="L10" s="7"/>
      <c r="M10" s="22"/>
      <c r="N10" s="22"/>
      <c r="O10" s="22"/>
      <c r="P10" s="22"/>
      <c r="Q10" s="7"/>
      <c r="R10" s="11"/>
      <c r="S10" s="7"/>
      <c r="T10" s="16"/>
      <c r="U10" s="7"/>
      <c r="V10" s="7"/>
      <c r="W10" s="11"/>
      <c r="X10" s="7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</row>
    <row r="11" spans="1:39" ht="19.5" customHeight="1" x14ac:dyDescent="0.35">
      <c r="A11" s="14"/>
      <c r="B11" s="17">
        <v>46162</v>
      </c>
      <c r="C11" s="18">
        <v>166000</v>
      </c>
      <c r="D11" s="19" t="s">
        <v>20</v>
      </c>
      <c r="E11" s="20" t="s">
        <v>21</v>
      </c>
      <c r="F11" s="14"/>
      <c r="G11" s="24"/>
      <c r="H11" s="25"/>
      <c r="I11" s="26"/>
      <c r="J11" s="23"/>
      <c r="K11" s="14"/>
      <c r="L11" s="7"/>
      <c r="M11" s="22"/>
      <c r="N11" s="22"/>
      <c r="O11" s="22"/>
      <c r="P11" s="22"/>
      <c r="Q11" s="7"/>
      <c r="R11" s="11"/>
      <c r="S11" s="7"/>
      <c r="T11" s="16"/>
      <c r="U11" s="7"/>
      <c r="V11" s="7"/>
      <c r="W11" s="11"/>
      <c r="X11" s="7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</row>
    <row r="12" spans="1:39" ht="19.5" customHeight="1" x14ac:dyDescent="0.35">
      <c r="A12" s="14"/>
      <c r="B12" s="17">
        <v>46143</v>
      </c>
      <c r="C12" s="18">
        <v>2500</v>
      </c>
      <c r="D12" s="19" t="s">
        <v>22</v>
      </c>
      <c r="E12" s="20" t="s">
        <v>9</v>
      </c>
      <c r="F12" s="14"/>
      <c r="G12" s="24"/>
      <c r="H12" s="25"/>
      <c r="I12" s="26"/>
      <c r="J12" s="23"/>
      <c r="K12" s="14"/>
      <c r="L12" s="7"/>
      <c r="M12" s="22"/>
      <c r="N12" s="22"/>
      <c r="O12" s="22"/>
      <c r="P12" s="22"/>
      <c r="Q12" s="7"/>
      <c r="R12" s="11"/>
      <c r="S12" s="7"/>
      <c r="T12" s="16"/>
      <c r="U12" s="7"/>
      <c r="V12" s="7"/>
      <c r="W12" s="11"/>
      <c r="X12" s="7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</row>
    <row r="13" spans="1:39" ht="19.5" customHeight="1" x14ac:dyDescent="0.35">
      <c r="A13" s="14"/>
      <c r="B13" s="17">
        <v>46143</v>
      </c>
      <c r="C13" s="18">
        <v>13683</v>
      </c>
      <c r="D13" s="19" t="s">
        <v>23</v>
      </c>
      <c r="E13" s="28" t="s">
        <v>19</v>
      </c>
      <c r="F13" s="14"/>
      <c r="G13" s="24"/>
      <c r="H13" s="25"/>
      <c r="I13" s="26"/>
      <c r="J13" s="23"/>
      <c r="K13" s="14"/>
      <c r="L13" s="7"/>
      <c r="M13" s="22"/>
      <c r="N13" s="22"/>
      <c r="O13" s="22"/>
      <c r="P13" s="22"/>
      <c r="Q13" s="7"/>
      <c r="R13" s="29"/>
      <c r="S13" s="30"/>
      <c r="T13" s="31"/>
      <c r="U13" s="30"/>
      <c r="V13" s="30"/>
      <c r="W13" s="29"/>
      <c r="X13" s="30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</row>
    <row r="14" spans="1:39" ht="19.5" customHeight="1" x14ac:dyDescent="0.6">
      <c r="A14" s="14"/>
      <c r="B14" s="17">
        <v>46143</v>
      </c>
      <c r="C14" s="18">
        <v>520</v>
      </c>
      <c r="D14" s="19" t="s">
        <v>35</v>
      </c>
      <c r="E14" s="23" t="s">
        <v>27</v>
      </c>
      <c r="F14" s="14"/>
      <c r="G14" s="24"/>
      <c r="H14" s="25"/>
      <c r="I14" s="26"/>
      <c r="J14" s="23"/>
      <c r="K14" s="14"/>
      <c r="L14" s="4"/>
      <c r="M14" s="32"/>
      <c r="N14" s="32"/>
      <c r="O14" s="33"/>
      <c r="P14" s="4"/>
      <c r="Q14" s="4"/>
      <c r="R14" s="34"/>
      <c r="S14" s="34"/>
      <c r="T14" s="34"/>
      <c r="U14" s="34"/>
      <c r="V14" s="34"/>
      <c r="W14" s="35"/>
      <c r="X14" s="35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</row>
    <row r="15" spans="1:39" ht="19.5" customHeight="1" x14ac:dyDescent="0.6">
      <c r="A15" s="14"/>
      <c r="B15" s="17">
        <v>46143</v>
      </c>
      <c r="C15" s="18">
        <f>288+56</f>
        <v>344</v>
      </c>
      <c r="D15" s="19" t="s">
        <v>66</v>
      </c>
      <c r="E15" s="23" t="s">
        <v>38</v>
      </c>
      <c r="F15" s="14"/>
      <c r="G15" s="24"/>
      <c r="H15" s="25"/>
      <c r="I15" s="26"/>
      <c r="J15" s="23"/>
      <c r="K15" s="14"/>
      <c r="L15" s="12"/>
      <c r="M15" s="4"/>
      <c r="N15" s="12"/>
      <c r="O15" s="36"/>
      <c r="P15" s="4"/>
      <c r="Q15" s="4"/>
      <c r="R15" s="35"/>
      <c r="S15" s="34"/>
      <c r="T15" s="34"/>
      <c r="U15" s="34"/>
      <c r="V15" s="34"/>
      <c r="W15" s="34"/>
      <c r="X15" s="3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</row>
    <row r="16" spans="1:39" ht="19.5" customHeight="1" x14ac:dyDescent="1.35">
      <c r="A16" s="14"/>
      <c r="B16" s="17">
        <v>46144</v>
      </c>
      <c r="C16" s="18">
        <f>2124+169+245</f>
        <v>2538</v>
      </c>
      <c r="D16" s="19" t="s">
        <v>76</v>
      </c>
      <c r="E16" s="23" t="s">
        <v>38</v>
      </c>
      <c r="F16" s="14"/>
      <c r="G16" s="24"/>
      <c r="H16" s="25"/>
      <c r="I16" s="26"/>
      <c r="J16" s="23"/>
      <c r="K16" s="14"/>
      <c r="L16" s="12"/>
      <c r="M16" s="4"/>
      <c r="N16" s="36"/>
      <c r="O16" s="36"/>
      <c r="P16" s="4"/>
      <c r="Q16" s="4"/>
      <c r="R16" s="35"/>
      <c r="S16" s="34"/>
      <c r="T16" s="98"/>
      <c r="U16" s="95"/>
      <c r="V16" s="95"/>
      <c r="W16" s="34"/>
      <c r="X16" s="37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</row>
    <row r="17" spans="1:39" ht="19.5" customHeight="1" x14ac:dyDescent="1.35">
      <c r="A17" s="14"/>
      <c r="B17" s="17">
        <v>46144</v>
      </c>
      <c r="C17" s="18">
        <v>486</v>
      </c>
      <c r="D17" s="19" t="s">
        <v>26</v>
      </c>
      <c r="E17" s="23" t="s">
        <v>27</v>
      </c>
      <c r="F17" s="14"/>
      <c r="G17" s="24"/>
      <c r="H17" s="25"/>
      <c r="I17" s="26"/>
      <c r="J17" s="23"/>
      <c r="K17" s="14"/>
      <c r="L17" s="4"/>
      <c r="M17" s="4"/>
      <c r="N17" s="36"/>
      <c r="O17" s="36"/>
      <c r="P17" s="4"/>
      <c r="Q17" s="4"/>
      <c r="R17" s="35"/>
      <c r="S17" s="34"/>
      <c r="T17" s="99"/>
      <c r="U17" s="95"/>
      <c r="V17" s="95"/>
      <c r="W17" s="34"/>
      <c r="X17" s="38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</row>
    <row r="18" spans="1:39" ht="19.5" customHeight="1" x14ac:dyDescent="1.35">
      <c r="A18" s="14"/>
      <c r="B18" s="17">
        <v>46145</v>
      </c>
      <c r="C18" s="18">
        <v>290</v>
      </c>
      <c r="D18" s="19" t="s">
        <v>45</v>
      </c>
      <c r="E18" s="23" t="s">
        <v>38</v>
      </c>
      <c r="F18" s="14"/>
      <c r="G18" s="24"/>
      <c r="H18" s="25"/>
      <c r="I18" s="26"/>
      <c r="J18" s="23"/>
      <c r="K18" s="14"/>
      <c r="L18" s="4"/>
      <c r="M18" s="4"/>
      <c r="N18" s="36"/>
      <c r="O18" s="36"/>
      <c r="P18" s="4"/>
      <c r="Q18" s="4"/>
      <c r="R18" s="39"/>
      <c r="S18" s="34"/>
      <c r="T18" s="100"/>
      <c r="U18" s="95"/>
      <c r="V18" s="95"/>
      <c r="W18" s="34"/>
      <c r="X18" s="38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</row>
    <row r="19" spans="1:39" ht="19.5" customHeight="1" x14ac:dyDescent="0.8">
      <c r="A19" s="14"/>
      <c r="B19" s="17">
        <v>46145</v>
      </c>
      <c r="C19" s="18">
        <v>186</v>
      </c>
      <c r="D19" s="19" t="s">
        <v>89</v>
      </c>
      <c r="E19" s="23" t="s">
        <v>38</v>
      </c>
      <c r="F19" s="14"/>
      <c r="G19" s="24"/>
      <c r="H19" s="25"/>
      <c r="I19" s="26"/>
      <c r="J19" s="23"/>
      <c r="K19" s="14"/>
      <c r="L19" s="4"/>
      <c r="M19" s="32"/>
      <c r="N19" s="40"/>
      <c r="O19" s="41"/>
      <c r="P19" s="42"/>
      <c r="Q19" s="40"/>
      <c r="R19" s="43"/>
      <c r="S19" s="34"/>
      <c r="T19" s="101"/>
      <c r="U19" s="95"/>
      <c r="V19" s="95"/>
      <c r="W19" s="34"/>
      <c r="X19" s="4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</row>
    <row r="20" spans="1:39" ht="19.5" customHeight="1" x14ac:dyDescent="0.35">
      <c r="A20" s="14"/>
      <c r="B20" s="17">
        <v>46147</v>
      </c>
      <c r="C20" s="18">
        <v>2250</v>
      </c>
      <c r="D20" s="19" t="s">
        <v>90</v>
      </c>
      <c r="E20" s="23" t="s">
        <v>52</v>
      </c>
      <c r="F20" s="14"/>
      <c r="G20" s="24"/>
      <c r="H20" s="25"/>
      <c r="I20" s="26"/>
      <c r="J20" s="23"/>
      <c r="K20" s="14"/>
      <c r="L20" s="45"/>
      <c r="M20" s="46" t="s">
        <v>1</v>
      </c>
      <c r="N20" s="46"/>
      <c r="O20" s="47" t="s">
        <v>34</v>
      </c>
      <c r="P20" s="46"/>
      <c r="Q20" s="46"/>
      <c r="R20" s="48"/>
      <c r="S20" s="106" t="s">
        <v>2</v>
      </c>
      <c r="T20" s="95"/>
      <c r="U20" s="95"/>
      <c r="V20" s="95"/>
      <c r="W20" s="95"/>
      <c r="X20" s="48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</row>
    <row r="21" spans="1:39" ht="19.5" customHeight="1" x14ac:dyDescent="0.35">
      <c r="A21" s="14"/>
      <c r="B21" s="17">
        <v>46149</v>
      </c>
      <c r="C21" s="18">
        <v>337</v>
      </c>
      <c r="D21" s="19" t="s">
        <v>35</v>
      </c>
      <c r="E21" s="23" t="s">
        <v>27</v>
      </c>
      <c r="F21" s="14"/>
      <c r="G21" s="24"/>
      <c r="H21" s="25"/>
      <c r="I21" s="26"/>
      <c r="J21" s="23"/>
      <c r="K21" s="14"/>
      <c r="L21" s="14"/>
      <c r="M21" s="47" t="s">
        <v>36</v>
      </c>
      <c r="N21" s="49">
        <f>O26</f>
        <v>250829</v>
      </c>
      <c r="O21" s="49">
        <f>SUM(O28:O40,O42,O43)</f>
        <v>84829</v>
      </c>
      <c r="P21" s="50"/>
      <c r="Q21" s="50"/>
      <c r="R21" s="51"/>
      <c r="S21" s="47" t="s">
        <v>36</v>
      </c>
      <c r="T21" s="49">
        <f>U26</f>
        <v>267000</v>
      </c>
      <c r="U21" s="107" t="str">
        <f ca="1">IFERROR(__xludf.DUMMYFUNCTION("SPARKLINE(T21,{""charttype"",""bar"";""max"",max(T21);""color1"",""#334960""})"),"")</f>
        <v/>
      </c>
      <c r="V21" s="95"/>
      <c r="W21" s="95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</row>
    <row r="22" spans="1:39" ht="19.5" customHeight="1" x14ac:dyDescent="0.35">
      <c r="A22" s="14"/>
      <c r="B22" s="17">
        <v>46151</v>
      </c>
      <c r="C22" s="18">
        <v>125</v>
      </c>
      <c r="D22" s="19" t="s">
        <v>91</v>
      </c>
      <c r="E22" s="23" t="s">
        <v>38</v>
      </c>
      <c r="F22" s="14"/>
      <c r="G22" s="24"/>
      <c r="H22" s="25"/>
      <c r="I22" s="26"/>
      <c r="J22" s="23"/>
      <c r="K22" s="14"/>
      <c r="L22" s="14"/>
      <c r="M22" s="47" t="s">
        <v>39</v>
      </c>
      <c r="N22" s="49">
        <f>SUM(O28:O37,O39,O42,O43)</f>
        <v>35546</v>
      </c>
      <c r="O22" s="50"/>
      <c r="P22" s="50"/>
      <c r="Q22" s="50"/>
      <c r="R22" s="51"/>
      <c r="S22" s="47"/>
      <c r="T22" s="49"/>
      <c r="U22" s="50"/>
      <c r="V22" s="50"/>
      <c r="W22" s="50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</row>
    <row r="23" spans="1:39" ht="19.5" customHeight="1" x14ac:dyDescent="0.6">
      <c r="A23" s="14"/>
      <c r="B23" s="17">
        <v>46152</v>
      </c>
      <c r="C23" s="18">
        <v>765</v>
      </c>
      <c r="D23" s="19" t="s">
        <v>35</v>
      </c>
      <c r="E23" s="23" t="s">
        <v>27</v>
      </c>
      <c r="F23" s="14"/>
      <c r="G23" s="24"/>
      <c r="H23" s="25"/>
      <c r="I23" s="26"/>
      <c r="J23" s="23"/>
      <c r="K23" s="14"/>
      <c r="L23" s="4"/>
      <c r="M23" s="108" t="s">
        <v>42</v>
      </c>
      <c r="N23" s="95"/>
      <c r="O23" s="52">
        <f>T21-N21</f>
        <v>16171</v>
      </c>
      <c r="P23" s="46"/>
      <c r="Q23" s="46"/>
      <c r="R23" s="4"/>
      <c r="T23" s="53"/>
      <c r="U23" s="109"/>
      <c r="V23" s="95"/>
      <c r="W23" s="95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</row>
    <row r="24" spans="1:39" ht="19.5" customHeight="1" x14ac:dyDescent="0.35">
      <c r="A24" s="14"/>
      <c r="B24" s="17">
        <v>46153</v>
      </c>
      <c r="C24" s="18">
        <v>1839</v>
      </c>
      <c r="D24" s="19" t="s">
        <v>67</v>
      </c>
      <c r="E24" s="23" t="s">
        <v>38</v>
      </c>
      <c r="F24" s="14"/>
      <c r="G24" s="24"/>
      <c r="H24" s="25"/>
      <c r="I24" s="26"/>
      <c r="J24" s="23"/>
      <c r="K24" s="14"/>
      <c r="L24" s="54"/>
      <c r="M24" s="110" t="s">
        <v>1</v>
      </c>
      <c r="N24" s="95"/>
      <c r="O24" s="55"/>
      <c r="P24" s="55"/>
      <c r="Q24" s="55"/>
      <c r="R24" s="56"/>
      <c r="S24" s="57" t="s">
        <v>2</v>
      </c>
      <c r="T24" s="58"/>
      <c r="U24" s="55"/>
      <c r="V24" s="55"/>
      <c r="W24" s="55"/>
      <c r="X24" s="5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</row>
    <row r="25" spans="1:39" ht="19.5" customHeight="1" x14ac:dyDescent="1.05">
      <c r="A25" s="14"/>
      <c r="B25" s="17">
        <v>46156</v>
      </c>
      <c r="C25" s="18">
        <v>449</v>
      </c>
      <c r="D25" s="19" t="s">
        <v>66</v>
      </c>
      <c r="E25" s="23" t="s">
        <v>38</v>
      </c>
      <c r="F25" s="14"/>
      <c r="G25" s="24"/>
      <c r="H25" s="25"/>
      <c r="I25" s="26"/>
      <c r="J25" s="23"/>
      <c r="K25" s="14"/>
      <c r="L25" s="59"/>
      <c r="M25" s="60"/>
      <c r="N25" s="61"/>
      <c r="O25" s="60" t="s">
        <v>36</v>
      </c>
      <c r="R25" s="62"/>
      <c r="S25" s="63"/>
      <c r="T25" s="64"/>
      <c r="U25" s="60" t="s">
        <v>36</v>
      </c>
      <c r="X25" s="59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</row>
    <row r="26" spans="1:39" ht="19.5" customHeight="1" x14ac:dyDescent="0.35">
      <c r="A26" s="14"/>
      <c r="B26" s="17">
        <v>46156</v>
      </c>
      <c r="C26" s="18">
        <v>1812</v>
      </c>
      <c r="D26" s="19" t="s">
        <v>92</v>
      </c>
      <c r="E26" s="23" t="s">
        <v>41</v>
      </c>
      <c r="F26" s="14"/>
      <c r="G26" s="24"/>
      <c r="H26" s="25"/>
      <c r="I26" s="26"/>
      <c r="J26" s="23"/>
      <c r="K26" s="14"/>
      <c r="L26" s="65"/>
      <c r="M26" s="66" t="s">
        <v>44</v>
      </c>
      <c r="N26" s="66"/>
      <c r="O26" s="67">
        <f>SUM(O27:P81)</f>
        <v>250829</v>
      </c>
      <c r="R26" s="68"/>
      <c r="S26" s="69" t="s">
        <v>44</v>
      </c>
      <c r="T26" s="70"/>
      <c r="U26" s="67">
        <f>SUM(U27:U44)</f>
        <v>267000</v>
      </c>
      <c r="X26" s="65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</row>
    <row r="27" spans="1:39" ht="19.5" customHeight="1" x14ac:dyDescent="0.35">
      <c r="A27" s="14"/>
      <c r="B27" s="17">
        <v>46157</v>
      </c>
      <c r="C27" s="18">
        <v>375</v>
      </c>
      <c r="D27" s="19" t="s">
        <v>26</v>
      </c>
      <c r="E27" s="23" t="s">
        <v>27</v>
      </c>
      <c r="F27" s="14"/>
      <c r="G27" s="24"/>
      <c r="H27" s="25"/>
      <c r="I27" s="26"/>
      <c r="J27" s="23"/>
      <c r="K27" s="14"/>
      <c r="L27" s="71"/>
      <c r="M27" s="111"/>
      <c r="N27" s="112"/>
      <c r="O27" s="72">
        <f>IF(ISBLANK($B29), "", SUMIF('05-26'!$E:$E,$B29,'05-26'!$C:$C))</f>
        <v>0</v>
      </c>
      <c r="R27" s="73"/>
      <c r="S27" s="102"/>
      <c r="T27" s="103"/>
      <c r="U27" s="72" t="str">
        <f>IF(ISBLANK($H27), "", SUMIF('05-26'!$J:$J,$H27,'05-26'!$H:$H))</f>
        <v/>
      </c>
      <c r="X27" s="71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</row>
    <row r="28" spans="1:39" ht="19.5" customHeight="1" x14ac:dyDescent="0.35">
      <c r="A28" s="14"/>
      <c r="B28" s="17">
        <v>46158</v>
      </c>
      <c r="C28" s="18">
        <v>2381</v>
      </c>
      <c r="D28" s="19" t="s">
        <v>93</v>
      </c>
      <c r="E28" s="23" t="s">
        <v>38</v>
      </c>
      <c r="F28" s="14"/>
      <c r="G28" s="24"/>
      <c r="H28" s="25"/>
      <c r="I28" s="26"/>
      <c r="J28" s="23"/>
      <c r="K28" s="14"/>
      <c r="L28" s="71"/>
      <c r="M28" s="104" t="s">
        <v>27</v>
      </c>
      <c r="N28" s="105"/>
      <c r="O28" s="74">
        <f>IF(ISBLANK($M28), "", SUMIF('05-26'!$E:$E,$M28,'05-26'!$C:$C))</f>
        <v>4337</v>
      </c>
      <c r="R28" s="73"/>
      <c r="S28" s="104" t="s">
        <v>47</v>
      </c>
      <c r="T28" s="105"/>
      <c r="U28" s="74">
        <f>IF(ISBLANK($S28), "", SUMIF('05-26'!$J:$J,$S28,'05-26'!$H:$H))</f>
        <v>0</v>
      </c>
      <c r="X28" s="71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</row>
    <row r="29" spans="1:39" ht="19.5" customHeight="1" x14ac:dyDescent="0.35">
      <c r="A29" s="14"/>
      <c r="B29" s="17">
        <v>46159</v>
      </c>
      <c r="C29" s="18">
        <v>90</v>
      </c>
      <c r="D29" s="19" t="s">
        <v>94</v>
      </c>
      <c r="E29" s="23" t="s">
        <v>25</v>
      </c>
      <c r="F29" s="14"/>
      <c r="G29" s="24"/>
      <c r="H29" s="25"/>
      <c r="I29" s="26"/>
      <c r="J29" s="23"/>
      <c r="K29" s="14"/>
      <c r="L29" s="71"/>
      <c r="M29" s="104" t="s">
        <v>50</v>
      </c>
      <c r="N29" s="105"/>
      <c r="O29" s="74">
        <f>IF(ISBLANK($M29), "", SUMIF('05-26'!$E:$E,$M29,'05-26'!$C:$C))</f>
        <v>0</v>
      </c>
      <c r="R29" s="73"/>
      <c r="S29" s="104" t="s">
        <v>11</v>
      </c>
      <c r="T29" s="105"/>
      <c r="U29" s="74">
        <f>IF(ISBLANK($S29), "", SUMIF('05-26'!$J:$J,$S29,'05-26'!$H:$H))</f>
        <v>267000</v>
      </c>
      <c r="X29" s="71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</row>
    <row r="30" spans="1:39" ht="19.5" customHeight="1" x14ac:dyDescent="0.35">
      <c r="A30" s="14"/>
      <c r="B30" s="17">
        <v>46159</v>
      </c>
      <c r="C30" s="18">
        <v>660</v>
      </c>
      <c r="D30" s="19" t="s">
        <v>45</v>
      </c>
      <c r="E30" s="23" t="s">
        <v>38</v>
      </c>
      <c r="F30" s="14"/>
      <c r="G30" s="24"/>
      <c r="H30" s="25"/>
      <c r="I30" s="26"/>
      <c r="J30" s="23"/>
      <c r="K30" s="14"/>
      <c r="L30" s="14"/>
      <c r="M30" s="104" t="s">
        <v>52</v>
      </c>
      <c r="N30" s="105"/>
      <c r="O30" s="74">
        <f>IF(ISBLANK($M30), "", SUMIF('05-26'!$E:$E,$M30,'05-26'!$C:$C))</f>
        <v>3462</v>
      </c>
      <c r="R30" s="75"/>
      <c r="S30" s="104" t="s">
        <v>53</v>
      </c>
      <c r="T30" s="105"/>
      <c r="U30" s="74">
        <f>IF(ISBLANK($S30), "", SUMIF('05-26'!$J:$J,$S30,'05-26'!$H:$H))</f>
        <v>0</v>
      </c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</row>
    <row r="31" spans="1:39" ht="19.5" customHeight="1" x14ac:dyDescent="0.35">
      <c r="A31" s="14"/>
      <c r="B31" s="17">
        <v>46159</v>
      </c>
      <c r="C31" s="18">
        <v>593</v>
      </c>
      <c r="D31" s="19" t="s">
        <v>95</v>
      </c>
      <c r="E31" s="23" t="s">
        <v>41</v>
      </c>
      <c r="F31" s="14"/>
      <c r="G31" s="24"/>
      <c r="H31" s="25"/>
      <c r="I31" s="26"/>
      <c r="J31" s="23"/>
      <c r="K31" s="14"/>
      <c r="L31" s="14"/>
      <c r="M31" s="104" t="s">
        <v>41</v>
      </c>
      <c r="N31" s="105"/>
      <c r="O31" s="74">
        <f>IF(ISBLANK($M31), "", SUMIF('05-26'!$E:$E,$M31,'05-26'!$C:$C))</f>
        <v>2515</v>
      </c>
      <c r="R31" s="75"/>
      <c r="S31" s="104" t="s">
        <v>55</v>
      </c>
      <c r="T31" s="105"/>
      <c r="U31" s="74">
        <f>IF(ISBLANK($S31), "", SUMIF('05-26'!$J:$J,$S31,'05-26'!$H:$H))</f>
        <v>0</v>
      </c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</row>
    <row r="32" spans="1:39" ht="19.5" customHeight="1" x14ac:dyDescent="0.35">
      <c r="A32" s="14"/>
      <c r="B32" s="17">
        <v>46161</v>
      </c>
      <c r="C32" s="18">
        <v>2681</v>
      </c>
      <c r="D32" s="19" t="s">
        <v>76</v>
      </c>
      <c r="E32" s="23" t="s">
        <v>38</v>
      </c>
      <c r="F32" s="14"/>
      <c r="G32" s="24"/>
      <c r="H32" s="25"/>
      <c r="I32" s="26"/>
      <c r="J32" s="23"/>
      <c r="K32" s="14"/>
      <c r="L32" s="14"/>
      <c r="M32" s="104" t="s">
        <v>49</v>
      </c>
      <c r="N32" s="105"/>
      <c r="O32" s="74">
        <f>IF(ISBLANK($M32), "", SUMIF('05-26'!$E:$E,$M32,'05-26'!$C:$C))</f>
        <v>291</v>
      </c>
      <c r="R32" s="75"/>
      <c r="S32" s="104" t="s">
        <v>56</v>
      </c>
      <c r="T32" s="105"/>
      <c r="U32" s="74">
        <f>IF(ISBLANK($S32), "", SUMIF('05-26'!$J:$J,$S32,'05-26'!$H:$H))</f>
        <v>0</v>
      </c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</row>
    <row r="33" spans="1:39" ht="19.5" customHeight="1" x14ac:dyDescent="0.35">
      <c r="A33" s="14"/>
      <c r="B33" s="17">
        <v>46163</v>
      </c>
      <c r="C33" s="18">
        <v>440</v>
      </c>
      <c r="D33" s="19" t="s">
        <v>96</v>
      </c>
      <c r="E33" s="23" t="s">
        <v>52</v>
      </c>
      <c r="F33" s="14"/>
      <c r="G33" s="24"/>
      <c r="H33" s="25"/>
      <c r="I33" s="26"/>
      <c r="J33" s="23"/>
      <c r="K33" s="14"/>
      <c r="L33" s="14"/>
      <c r="M33" s="104" t="s">
        <v>25</v>
      </c>
      <c r="N33" s="105"/>
      <c r="O33" s="74">
        <f>IF(ISBLANK($M33), "", SUMIF('05-26'!$E:$E,$M33,'05-26'!$C:$C))</f>
        <v>5451</v>
      </c>
      <c r="R33" s="75"/>
      <c r="S33" s="104" t="s">
        <v>58</v>
      </c>
      <c r="T33" s="105"/>
      <c r="U33" s="74">
        <f>IF(ISBLANK($S33), "", SUMIF('05-26'!$J:$J,$S33,'05-26'!$H:$H))</f>
        <v>0</v>
      </c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</row>
    <row r="34" spans="1:39" ht="19.5" customHeight="1" x14ac:dyDescent="0.6">
      <c r="A34" s="14"/>
      <c r="B34" s="17">
        <v>46163</v>
      </c>
      <c r="C34" s="18">
        <f>360+150</f>
        <v>510</v>
      </c>
      <c r="D34" s="19" t="s">
        <v>66</v>
      </c>
      <c r="E34" s="23" t="s">
        <v>38</v>
      </c>
      <c r="F34" s="14"/>
      <c r="G34" s="24"/>
      <c r="H34" s="76"/>
      <c r="I34" s="77"/>
      <c r="J34" s="78"/>
      <c r="K34" s="14"/>
      <c r="L34" s="14"/>
      <c r="M34" s="104" t="s">
        <v>38</v>
      </c>
      <c r="N34" s="105"/>
      <c r="O34" s="74">
        <f>IF(ISBLANK($M34), "", SUMIF('05-26'!$E:$E,$M34,'05-26'!$C:$C))</f>
        <v>15308</v>
      </c>
      <c r="R34" s="79"/>
      <c r="S34" s="113"/>
      <c r="T34" s="105"/>
      <c r="U34" s="80"/>
      <c r="V34" s="72" t="str">
        <f>IF(ISBLANK($H34), "", SUMIF('05-26'!$J:$J,$H34,'05-26'!$H:$H))</f>
        <v/>
      </c>
      <c r="W34" s="81" t="str">
        <f t="shared" ref="W34:W41" si="0">IF(ISBLANK($H34), "", V34-U34)</f>
        <v/>
      </c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</row>
    <row r="35" spans="1:39" ht="19.5" customHeight="1" x14ac:dyDescent="0.6">
      <c r="A35" s="14"/>
      <c r="B35" s="17">
        <v>46164</v>
      </c>
      <c r="C35" s="18">
        <v>110</v>
      </c>
      <c r="D35" s="19" t="s">
        <v>85</v>
      </c>
      <c r="E35" s="23" t="s">
        <v>25</v>
      </c>
      <c r="F35" s="14"/>
      <c r="G35" s="24"/>
      <c r="H35" s="82"/>
      <c r="I35" s="83"/>
      <c r="J35" s="28"/>
      <c r="K35" s="14"/>
      <c r="L35" s="14"/>
      <c r="M35" s="104" t="s">
        <v>9</v>
      </c>
      <c r="N35" s="105"/>
      <c r="O35" s="74">
        <f>IF(ISBLANK($M35), "", SUMIF('05-26'!$E:$E,$M35,'05-26'!$C:$C))</f>
        <v>3903</v>
      </c>
      <c r="R35" s="75"/>
      <c r="S35" s="113"/>
      <c r="T35" s="105"/>
      <c r="U35" s="80"/>
      <c r="V35" s="72" t="str">
        <f>IF(ISBLANK($H35), "", SUMIF('05-26'!$J:$J,$H35,'05-26'!$H:$H))</f>
        <v/>
      </c>
      <c r="W35" s="81" t="str">
        <f t="shared" si="0"/>
        <v/>
      </c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</row>
    <row r="36" spans="1:39" ht="19.5" customHeight="1" x14ac:dyDescent="0.6">
      <c r="A36" s="14"/>
      <c r="B36" s="17">
        <v>46164</v>
      </c>
      <c r="C36" s="18">
        <v>346</v>
      </c>
      <c r="D36" s="19" t="s">
        <v>96</v>
      </c>
      <c r="E36" s="23" t="s">
        <v>52</v>
      </c>
      <c r="F36" s="14"/>
      <c r="G36" s="24"/>
      <c r="H36" s="82"/>
      <c r="I36" s="83"/>
      <c r="J36" s="28"/>
      <c r="K36" s="14"/>
      <c r="L36" s="14"/>
      <c r="M36" s="104" t="s">
        <v>29</v>
      </c>
      <c r="N36" s="105"/>
      <c r="O36" s="74">
        <f>IF(ISBLANK($M36), "", SUMIF('05-26'!$E:$E,$M36,'05-26'!$C:$C))</f>
        <v>0</v>
      </c>
      <c r="R36" s="75"/>
      <c r="S36" s="113"/>
      <c r="T36" s="105"/>
      <c r="U36" s="80"/>
      <c r="V36" s="72" t="str">
        <f>IF(ISBLANK($H36), "", SUMIF('05-26'!$J:$J,$H36,'05-26'!$H:$H))</f>
        <v/>
      </c>
      <c r="W36" s="81" t="str">
        <f t="shared" si="0"/>
        <v/>
      </c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</row>
    <row r="37" spans="1:39" ht="19.5" customHeight="1" x14ac:dyDescent="0.6">
      <c r="A37" s="14"/>
      <c r="B37" s="17">
        <v>46164</v>
      </c>
      <c r="C37" s="18">
        <v>645</v>
      </c>
      <c r="D37" s="19" t="s">
        <v>26</v>
      </c>
      <c r="E37" s="23" t="s">
        <v>27</v>
      </c>
      <c r="F37" s="14"/>
      <c r="G37" s="24"/>
      <c r="H37" s="82"/>
      <c r="I37" s="83"/>
      <c r="J37" s="28"/>
      <c r="K37" s="14"/>
      <c r="L37" s="14"/>
      <c r="M37" s="104" t="s">
        <v>62</v>
      </c>
      <c r="N37" s="105"/>
      <c r="O37" s="74">
        <f>IF(ISBLANK($M37), "", SUMIF('05-26'!$E:$E,$M37,'05-26'!$C:$C))</f>
        <v>0</v>
      </c>
      <c r="R37" s="75"/>
      <c r="S37" s="113"/>
      <c r="T37" s="105"/>
      <c r="U37" s="80"/>
      <c r="V37" s="72" t="str">
        <f>IF(ISBLANK($H37), "", SUMIF('05-26'!$J:$J,$H37,'05-26'!$H:$H))</f>
        <v/>
      </c>
      <c r="W37" s="81" t="str">
        <f t="shared" si="0"/>
        <v/>
      </c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</row>
    <row r="38" spans="1:39" ht="19.5" customHeight="1" x14ac:dyDescent="0.6">
      <c r="A38" s="14"/>
      <c r="B38" s="17">
        <v>46164</v>
      </c>
      <c r="C38" s="18">
        <v>291</v>
      </c>
      <c r="D38" s="19" t="s">
        <v>97</v>
      </c>
      <c r="E38" s="23" t="s">
        <v>49</v>
      </c>
      <c r="F38" s="14"/>
      <c r="G38" s="24"/>
      <c r="H38" s="82"/>
      <c r="I38" s="83"/>
      <c r="J38" s="28"/>
      <c r="K38" s="14"/>
      <c r="L38" s="14"/>
      <c r="M38" s="104" t="s">
        <v>19</v>
      </c>
      <c r="N38" s="105"/>
      <c r="O38" s="74">
        <f>IF(ISBLANK($M38), "", SUMIF('05-26'!$E:$E,$M38,'05-26'!$C:$C))</f>
        <v>23283</v>
      </c>
      <c r="R38" s="75"/>
      <c r="S38" s="113"/>
      <c r="T38" s="105"/>
      <c r="U38" s="80"/>
      <c r="V38" s="72" t="str">
        <f>IF(ISBLANK($H38), "", SUMIF('05-26'!$J:$J,$H38,'05-26'!$H:$H))</f>
        <v/>
      </c>
      <c r="W38" s="81" t="str">
        <f t="shared" si="0"/>
        <v/>
      </c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</row>
    <row r="39" spans="1:39" ht="19.5" customHeight="1" x14ac:dyDescent="0.6">
      <c r="A39" s="14"/>
      <c r="B39" s="17">
        <v>46162</v>
      </c>
      <c r="C39" s="18">
        <f>160+300</f>
        <v>460</v>
      </c>
      <c r="D39" s="19" t="s">
        <v>45</v>
      </c>
      <c r="E39" s="23" t="s">
        <v>38</v>
      </c>
      <c r="F39" s="14"/>
      <c r="G39" s="24"/>
      <c r="H39" s="82"/>
      <c r="I39" s="83"/>
      <c r="J39" s="28"/>
      <c r="K39" s="14"/>
      <c r="L39" s="14"/>
      <c r="M39" s="104" t="s">
        <v>16</v>
      </c>
      <c r="N39" s="105"/>
      <c r="O39" s="74">
        <f>IF(ISBLANK($M39), "", SUMIF('05-26'!$E:$E,$M39,'05-26'!$C:$C))</f>
        <v>279</v>
      </c>
      <c r="R39" s="75"/>
      <c r="S39" s="113"/>
      <c r="T39" s="105"/>
      <c r="U39" s="80"/>
      <c r="V39" s="72" t="str">
        <f>IF(ISBLANK($H39), "", SUMIF('05-26'!$J:$J,$H39,'05-26'!$H:$H))</f>
        <v/>
      </c>
      <c r="W39" s="81" t="str">
        <f t="shared" si="0"/>
        <v/>
      </c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</row>
    <row r="40" spans="1:39" ht="19.5" customHeight="1" x14ac:dyDescent="0.6">
      <c r="A40" s="14"/>
      <c r="B40" s="17">
        <v>46163</v>
      </c>
      <c r="C40" s="18">
        <v>1353</v>
      </c>
      <c r="D40" s="19" t="s">
        <v>67</v>
      </c>
      <c r="E40" s="23" t="s">
        <v>38</v>
      </c>
      <c r="F40" s="14"/>
      <c r="G40" s="24"/>
      <c r="H40" s="82"/>
      <c r="I40" s="83"/>
      <c r="J40" s="28"/>
      <c r="K40" s="14"/>
      <c r="L40" s="14"/>
      <c r="M40" s="104" t="s">
        <v>13</v>
      </c>
      <c r="N40" s="105"/>
      <c r="O40" s="74">
        <f>IF(ISBLANK($M40), "", SUMIF('05-26'!$E:$E,$M40,'05-26'!$C:$C))</f>
        <v>26000</v>
      </c>
      <c r="R40" s="75"/>
      <c r="S40" s="113"/>
      <c r="T40" s="105"/>
      <c r="U40" s="80"/>
      <c r="V40" s="72" t="str">
        <f>IF(ISBLANK($H40), "", SUMIF('05-26'!$J:$J,$H40,'05-26'!$H:$H))</f>
        <v/>
      </c>
      <c r="W40" s="81" t="str">
        <f t="shared" si="0"/>
        <v/>
      </c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</row>
    <row r="41" spans="1:39" ht="19.5" customHeight="1" x14ac:dyDescent="0.6">
      <c r="A41" s="14"/>
      <c r="B41" s="17">
        <v>46164</v>
      </c>
      <c r="C41" s="18">
        <v>789</v>
      </c>
      <c r="D41" s="19" t="s">
        <v>26</v>
      </c>
      <c r="E41" s="23" t="s">
        <v>27</v>
      </c>
      <c r="F41" s="14"/>
      <c r="G41" s="24"/>
      <c r="H41" s="82"/>
      <c r="I41" s="83"/>
      <c r="J41" s="28"/>
      <c r="K41" s="14"/>
      <c r="L41" s="14"/>
      <c r="M41" s="104" t="s">
        <v>21</v>
      </c>
      <c r="N41" s="105"/>
      <c r="O41" s="74">
        <f>IF(ISBLANK($M41), "", SUMIF('05-26'!$E:$E,$M41,'05-26'!$C:$C))</f>
        <v>166000</v>
      </c>
      <c r="R41" s="75"/>
      <c r="S41" s="113"/>
      <c r="T41" s="105"/>
      <c r="U41" s="80"/>
      <c r="V41" s="72" t="str">
        <f>IF(ISBLANK($H41), "", SUMIF('05-26'!$J:$J,$H41,'05-26'!$H:$H))</f>
        <v/>
      </c>
      <c r="W41" s="81" t="str">
        <f t="shared" si="0"/>
        <v/>
      </c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</row>
    <row r="42" spans="1:39" ht="19.5" customHeight="1" x14ac:dyDescent="0.6">
      <c r="A42" s="14"/>
      <c r="B42" s="17">
        <v>46166</v>
      </c>
      <c r="C42" s="18">
        <v>286</v>
      </c>
      <c r="D42" s="19" t="s">
        <v>66</v>
      </c>
      <c r="E42" s="28" t="s">
        <v>38</v>
      </c>
      <c r="F42" s="14"/>
      <c r="G42" s="24"/>
      <c r="H42" s="82"/>
      <c r="I42" s="83"/>
      <c r="J42" s="28"/>
      <c r="K42" s="14"/>
      <c r="L42" s="14"/>
      <c r="M42" s="104" t="s">
        <v>63</v>
      </c>
      <c r="N42" s="105"/>
      <c r="O42" s="74">
        <f>IF(ISBLANK($M42), "", SUMIF('05-26'!$E:$E,$M42,'05-26'!$C:$C))</f>
        <v>0</v>
      </c>
      <c r="P42" s="72"/>
      <c r="Q42" s="81"/>
      <c r="R42" s="75"/>
      <c r="S42" s="84"/>
      <c r="T42" s="84"/>
      <c r="U42" s="80"/>
      <c r="V42" s="72"/>
      <c r="W42" s="81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</row>
    <row r="43" spans="1:39" ht="19.5" customHeight="1" x14ac:dyDescent="0.6">
      <c r="A43" s="14"/>
      <c r="B43" s="17">
        <v>46167</v>
      </c>
      <c r="C43" s="18">
        <v>3759</v>
      </c>
      <c r="D43" s="19" t="s">
        <v>98</v>
      </c>
      <c r="E43" s="28" t="s">
        <v>25</v>
      </c>
      <c r="F43" s="14"/>
      <c r="G43" s="24"/>
      <c r="H43" s="82"/>
      <c r="I43" s="83"/>
      <c r="J43" s="28"/>
      <c r="K43" s="14"/>
      <c r="L43" s="14"/>
      <c r="M43" s="104" t="s">
        <v>64</v>
      </c>
      <c r="N43" s="105"/>
      <c r="O43" s="74">
        <f>IF(ISBLANK($M43), "", SUMIF('05-26'!$E:$E,$M43,'05-26'!$C:$C))</f>
        <v>0</v>
      </c>
      <c r="P43" s="72"/>
      <c r="Q43" s="81"/>
      <c r="R43" s="75"/>
      <c r="S43" s="84"/>
      <c r="T43" s="84"/>
      <c r="U43" s="80"/>
      <c r="V43" s="72"/>
      <c r="W43" s="81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</row>
    <row r="44" spans="1:39" ht="19.5" customHeight="1" x14ac:dyDescent="0.6">
      <c r="A44" s="14"/>
      <c r="B44" s="17">
        <v>46168</v>
      </c>
      <c r="C44" s="18">
        <v>110</v>
      </c>
      <c r="D44" s="19" t="s">
        <v>99</v>
      </c>
      <c r="E44" s="28" t="s">
        <v>41</v>
      </c>
      <c r="F44" s="14"/>
      <c r="G44" s="24"/>
      <c r="H44" s="82"/>
      <c r="I44" s="83"/>
      <c r="J44" s="28"/>
      <c r="K44" s="14"/>
      <c r="L44" s="14"/>
      <c r="M44" s="104"/>
      <c r="N44" s="105"/>
      <c r="O44" s="85"/>
      <c r="P44" s="72"/>
      <c r="Q44" s="81"/>
      <c r="R44" s="75"/>
      <c r="S44" s="113"/>
      <c r="T44" s="105"/>
      <c r="U44" s="80"/>
      <c r="V44" s="72" t="str">
        <f>IF(ISBLANK($H44), "", SUMIF('05-26'!$J:$J,$H44,'05-26'!$H:$H))</f>
        <v/>
      </c>
      <c r="W44" s="81" t="str">
        <f>IF(ISBLANK($H44), "", V44-U44)</f>
        <v/>
      </c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</row>
    <row r="45" spans="1:39" ht="19.5" customHeight="1" x14ac:dyDescent="0.35">
      <c r="A45" s="14"/>
      <c r="B45" s="17">
        <v>46170</v>
      </c>
      <c r="C45" s="18">
        <v>263</v>
      </c>
      <c r="D45" s="19" t="s">
        <v>74</v>
      </c>
      <c r="E45" s="28" t="s">
        <v>52</v>
      </c>
      <c r="F45" s="14"/>
      <c r="G45" s="24"/>
      <c r="H45" s="82"/>
      <c r="I45" s="83"/>
      <c r="J45" s="28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</row>
    <row r="46" spans="1:39" ht="19.5" customHeight="1" x14ac:dyDescent="0.35">
      <c r="A46" s="14"/>
      <c r="B46" s="86">
        <v>46171</v>
      </c>
      <c r="C46" s="18">
        <v>387</v>
      </c>
      <c r="D46" s="19" t="s">
        <v>100</v>
      </c>
      <c r="E46" s="23" t="s">
        <v>38</v>
      </c>
      <c r="F46" s="14"/>
      <c r="G46" s="24"/>
      <c r="H46" s="82"/>
      <c r="I46" s="83"/>
      <c r="J46" s="28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</row>
    <row r="47" spans="1:39" ht="19.5" customHeight="1" x14ac:dyDescent="0.35">
      <c r="A47" s="14"/>
      <c r="B47" s="86">
        <v>46171</v>
      </c>
      <c r="C47" s="18">
        <v>359</v>
      </c>
      <c r="D47" s="19" t="s">
        <v>66</v>
      </c>
      <c r="E47" s="23" t="s">
        <v>38</v>
      </c>
      <c r="F47" s="14"/>
      <c r="G47" s="24"/>
      <c r="H47" s="82"/>
      <c r="I47" s="83"/>
      <c r="J47" s="28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</row>
    <row r="48" spans="1:39" ht="19.5" customHeight="1" x14ac:dyDescent="0.35">
      <c r="A48" s="14"/>
      <c r="B48" s="17">
        <v>46173</v>
      </c>
      <c r="C48" s="18">
        <v>113</v>
      </c>
      <c r="D48" s="19" t="s">
        <v>94</v>
      </c>
      <c r="E48" s="23" t="s">
        <v>25</v>
      </c>
      <c r="F48" s="14"/>
      <c r="G48" s="24"/>
      <c r="H48" s="82"/>
      <c r="I48" s="83"/>
      <c r="J48" s="28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</row>
    <row r="49" spans="1:39" ht="19.5" customHeight="1" x14ac:dyDescent="0.35">
      <c r="A49" s="14"/>
      <c r="B49" s="17">
        <v>46173</v>
      </c>
      <c r="C49" s="18">
        <f>370+90</f>
        <v>460</v>
      </c>
      <c r="D49" s="19" t="s">
        <v>45</v>
      </c>
      <c r="E49" s="28" t="s">
        <v>38</v>
      </c>
      <c r="F49" s="14"/>
      <c r="G49" s="24"/>
      <c r="H49" s="82"/>
      <c r="I49" s="83"/>
      <c r="J49" s="28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</row>
    <row r="50" spans="1:39" ht="19.5" customHeight="1" x14ac:dyDescent="0.35">
      <c r="A50" s="14"/>
      <c r="B50" s="17">
        <v>46173</v>
      </c>
      <c r="C50" s="18">
        <v>163</v>
      </c>
      <c r="D50" s="19" t="s">
        <v>74</v>
      </c>
      <c r="E50" s="28" t="s">
        <v>52</v>
      </c>
      <c r="F50" s="14"/>
      <c r="G50" s="24"/>
      <c r="H50" s="82"/>
      <c r="I50" s="83"/>
      <c r="J50" s="28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</row>
    <row r="51" spans="1:39" ht="19.5" customHeight="1" x14ac:dyDescent="0.35">
      <c r="A51" s="14"/>
      <c r="B51" s="17">
        <v>46173</v>
      </c>
      <c r="C51" s="18">
        <v>1379</v>
      </c>
      <c r="D51" s="19" t="s">
        <v>101</v>
      </c>
      <c r="E51" s="28" t="s">
        <v>25</v>
      </c>
      <c r="F51" s="14"/>
      <c r="G51" s="24"/>
      <c r="H51" s="82"/>
      <c r="I51" s="83"/>
      <c r="J51" s="28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</row>
    <row r="52" spans="1:39" ht="19.5" customHeight="1" x14ac:dyDescent="0.35">
      <c r="A52" s="14"/>
      <c r="B52" s="17">
        <v>46173</v>
      </c>
      <c r="C52" s="18">
        <v>340</v>
      </c>
      <c r="D52" s="19" t="s">
        <v>35</v>
      </c>
      <c r="E52" s="23" t="s">
        <v>27</v>
      </c>
      <c r="F52" s="14"/>
      <c r="G52" s="24"/>
      <c r="H52" s="82"/>
      <c r="I52" s="83"/>
      <c r="J52" s="28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</row>
    <row r="53" spans="1:39" ht="19.5" customHeight="1" x14ac:dyDescent="0.35">
      <c r="A53" s="14"/>
      <c r="B53" s="17">
        <v>46173</v>
      </c>
      <c r="C53" s="18">
        <v>80</v>
      </c>
      <c r="D53" s="19" t="s">
        <v>91</v>
      </c>
      <c r="E53" s="23" t="s">
        <v>27</v>
      </c>
      <c r="F53" s="14"/>
      <c r="G53" s="24"/>
      <c r="H53" s="82"/>
      <c r="I53" s="83"/>
      <c r="J53" s="28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</row>
    <row r="54" spans="1:39" ht="19.5" customHeight="1" x14ac:dyDescent="0.35">
      <c r="A54" s="14"/>
      <c r="B54" s="17"/>
      <c r="C54" s="18"/>
      <c r="D54" s="19"/>
      <c r="E54" s="28"/>
      <c r="F54" s="14"/>
      <c r="G54" s="24"/>
      <c r="H54" s="82"/>
      <c r="I54" s="83"/>
      <c r="J54" s="28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</row>
    <row r="55" spans="1:39" ht="19.5" customHeight="1" x14ac:dyDescent="0.35">
      <c r="A55" s="14"/>
      <c r="B55" s="17"/>
      <c r="C55" s="18"/>
      <c r="D55" s="19"/>
      <c r="E55" s="28"/>
      <c r="F55" s="14"/>
      <c r="G55" s="24"/>
      <c r="H55" s="82"/>
      <c r="I55" s="83"/>
      <c r="J55" s="28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</row>
    <row r="56" spans="1:39" ht="19.5" customHeight="1" x14ac:dyDescent="0.35">
      <c r="A56" s="14"/>
      <c r="B56" s="17"/>
      <c r="C56" s="18"/>
      <c r="D56" s="19"/>
      <c r="E56" s="28"/>
      <c r="F56" s="14"/>
      <c r="G56" s="24"/>
      <c r="H56" s="82"/>
      <c r="I56" s="83"/>
      <c r="J56" s="28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</row>
    <row r="57" spans="1:39" ht="19.5" customHeight="1" x14ac:dyDescent="0.35">
      <c r="A57" s="14"/>
      <c r="B57" s="17"/>
      <c r="C57" s="18"/>
      <c r="D57" s="19"/>
      <c r="E57" s="28"/>
      <c r="F57" s="14"/>
      <c r="G57" s="24"/>
      <c r="H57" s="82"/>
      <c r="I57" s="83"/>
      <c r="J57" s="28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</row>
    <row r="58" spans="1:39" ht="19.5" customHeight="1" x14ac:dyDescent="0.35">
      <c r="A58" s="14"/>
      <c r="B58" s="17"/>
      <c r="C58" s="18"/>
      <c r="D58" s="19"/>
      <c r="E58" s="28"/>
      <c r="F58" s="14"/>
      <c r="G58" s="87"/>
      <c r="H58" s="82"/>
      <c r="I58" s="83"/>
      <c r="J58" s="28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</row>
    <row r="59" spans="1:39" ht="19.5" customHeight="1" x14ac:dyDescent="0.35">
      <c r="A59" s="14"/>
      <c r="B59" s="17"/>
      <c r="C59" s="18"/>
      <c r="D59" s="19"/>
      <c r="E59" s="28"/>
      <c r="F59" s="14"/>
      <c r="G59" s="87"/>
      <c r="H59" s="82"/>
      <c r="I59" s="83"/>
      <c r="J59" s="28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</row>
    <row r="60" spans="1:39" ht="19.5" customHeight="1" x14ac:dyDescent="0.35">
      <c r="A60" s="14"/>
      <c r="B60" s="17"/>
      <c r="C60" s="18"/>
      <c r="D60" s="19"/>
      <c r="E60" s="28"/>
      <c r="F60" s="14"/>
      <c r="G60" s="87"/>
      <c r="H60" s="82"/>
      <c r="I60" s="83"/>
      <c r="J60" s="28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</row>
    <row r="61" spans="1:39" ht="19.5" customHeight="1" x14ac:dyDescent="0.35">
      <c r="A61" s="14"/>
      <c r="B61" s="17"/>
      <c r="C61" s="18"/>
      <c r="D61" s="19"/>
      <c r="E61" s="28"/>
      <c r="F61" s="14"/>
      <c r="G61" s="87"/>
      <c r="H61" s="82"/>
      <c r="I61" s="83"/>
      <c r="J61" s="28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</row>
    <row r="62" spans="1:39" ht="19.5" customHeight="1" x14ac:dyDescent="0.35">
      <c r="A62" s="14"/>
      <c r="B62" s="17"/>
      <c r="C62" s="18"/>
      <c r="D62" s="19"/>
      <c r="E62" s="28"/>
      <c r="F62" s="14"/>
      <c r="G62" s="87"/>
      <c r="H62" s="82"/>
      <c r="I62" s="83"/>
      <c r="J62" s="28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</row>
    <row r="63" spans="1:39" ht="19.5" customHeight="1" x14ac:dyDescent="0.35">
      <c r="A63" s="14"/>
      <c r="B63" s="17"/>
      <c r="C63" s="18"/>
      <c r="D63" s="19"/>
      <c r="E63" s="28"/>
      <c r="F63" s="14"/>
      <c r="G63" s="87"/>
      <c r="H63" s="82"/>
      <c r="I63" s="83"/>
      <c r="J63" s="28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</row>
    <row r="64" spans="1:39" ht="19.5" customHeight="1" x14ac:dyDescent="0.35">
      <c r="A64" s="14"/>
      <c r="B64" s="17"/>
      <c r="C64" s="18"/>
      <c r="D64" s="19"/>
      <c r="E64" s="28"/>
      <c r="F64" s="14"/>
      <c r="G64" s="87"/>
      <c r="H64" s="82"/>
      <c r="I64" s="83"/>
      <c r="J64" s="28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</row>
    <row r="65" spans="1:39" ht="19.5" customHeight="1" x14ac:dyDescent="0.35">
      <c r="A65" s="14"/>
      <c r="B65" s="17"/>
      <c r="C65" s="18"/>
      <c r="D65" s="19"/>
      <c r="E65" s="28"/>
      <c r="F65" s="14"/>
      <c r="G65" s="87"/>
      <c r="H65" s="82"/>
      <c r="I65" s="83"/>
      <c r="J65" s="28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</row>
    <row r="66" spans="1:39" ht="19.5" customHeight="1" x14ac:dyDescent="0.35">
      <c r="A66" s="14"/>
      <c r="B66" s="17"/>
      <c r="C66" s="18"/>
      <c r="D66" s="19"/>
      <c r="E66" s="28"/>
      <c r="F66" s="14"/>
      <c r="G66" s="87"/>
      <c r="H66" s="82"/>
      <c r="I66" s="83"/>
      <c r="J66" s="28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</row>
    <row r="67" spans="1:39" ht="19.5" customHeight="1" x14ac:dyDescent="0.35">
      <c r="A67" s="14"/>
      <c r="B67" s="17"/>
      <c r="C67" s="18"/>
      <c r="D67" s="19"/>
      <c r="E67" s="28"/>
      <c r="F67" s="14"/>
      <c r="G67" s="87"/>
      <c r="H67" s="82"/>
      <c r="I67" s="83"/>
      <c r="J67" s="28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</row>
    <row r="68" spans="1:39" ht="19.5" customHeight="1" x14ac:dyDescent="0.35">
      <c r="A68" s="14"/>
      <c r="B68" s="17"/>
      <c r="C68" s="18"/>
      <c r="D68" s="19"/>
      <c r="E68" s="28"/>
      <c r="F68" s="14"/>
      <c r="G68" s="87"/>
      <c r="H68" s="82"/>
      <c r="I68" s="83"/>
      <c r="J68" s="28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</row>
    <row r="69" spans="1:39" ht="19.5" customHeight="1" x14ac:dyDescent="0.35">
      <c r="A69" s="14"/>
      <c r="B69" s="17"/>
      <c r="C69" s="18"/>
      <c r="D69" s="19"/>
      <c r="E69" s="28"/>
      <c r="F69" s="14"/>
      <c r="G69" s="87"/>
      <c r="H69" s="82"/>
      <c r="I69" s="83"/>
      <c r="J69" s="28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</row>
    <row r="70" spans="1:39" ht="19.5" customHeight="1" x14ac:dyDescent="0.35">
      <c r="A70" s="14"/>
      <c r="B70" s="17"/>
      <c r="C70" s="18"/>
      <c r="D70" s="19"/>
      <c r="E70" s="28"/>
      <c r="F70" s="14"/>
      <c r="G70" s="87"/>
      <c r="H70" s="82"/>
      <c r="I70" s="83"/>
      <c r="J70" s="28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</row>
    <row r="71" spans="1:39" ht="19.5" customHeight="1" x14ac:dyDescent="0.35">
      <c r="A71" s="14"/>
      <c r="B71" s="17"/>
      <c r="C71" s="18"/>
      <c r="D71" s="19"/>
      <c r="E71" s="28"/>
      <c r="F71" s="14"/>
      <c r="G71" s="87"/>
      <c r="H71" s="82"/>
      <c r="I71" s="83"/>
      <c r="J71" s="28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</row>
    <row r="72" spans="1:39" ht="19.5" customHeight="1" x14ac:dyDescent="0.35">
      <c r="A72" s="14"/>
      <c r="B72" s="17"/>
      <c r="C72" s="18"/>
      <c r="D72" s="19"/>
      <c r="E72" s="28"/>
      <c r="F72" s="14"/>
      <c r="G72" s="87"/>
      <c r="H72" s="82"/>
      <c r="I72" s="83"/>
      <c r="J72" s="28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</row>
    <row r="73" spans="1:39" ht="19.5" customHeight="1" x14ac:dyDescent="0.35">
      <c r="A73" s="14"/>
      <c r="B73" s="17"/>
      <c r="C73" s="18"/>
      <c r="D73" s="19"/>
      <c r="E73" s="28"/>
      <c r="F73" s="14"/>
      <c r="G73" s="87"/>
      <c r="H73" s="82"/>
      <c r="I73" s="83"/>
      <c r="J73" s="28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</row>
    <row r="74" spans="1:39" ht="19.5" customHeight="1" x14ac:dyDescent="0.35">
      <c r="A74" s="14"/>
      <c r="B74" s="17"/>
      <c r="C74" s="18"/>
      <c r="D74" s="19"/>
      <c r="E74" s="28"/>
      <c r="F74" s="14"/>
      <c r="G74" s="87"/>
      <c r="H74" s="82"/>
      <c r="I74" s="83"/>
      <c r="J74" s="28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</row>
    <row r="75" spans="1:39" ht="19.5" customHeight="1" x14ac:dyDescent="0.35">
      <c r="A75" s="14"/>
      <c r="B75" s="17"/>
      <c r="C75" s="18"/>
      <c r="D75" s="19"/>
      <c r="E75" s="28"/>
      <c r="F75" s="14"/>
      <c r="G75" s="87"/>
      <c r="H75" s="82"/>
      <c r="I75" s="83"/>
      <c r="J75" s="28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</row>
    <row r="76" spans="1:39" ht="19.5" customHeight="1" x14ac:dyDescent="0.35">
      <c r="A76" s="14"/>
      <c r="B76" s="17"/>
      <c r="C76" s="18"/>
      <c r="D76" s="19"/>
      <c r="E76" s="28"/>
      <c r="F76" s="14"/>
      <c r="G76" s="87"/>
      <c r="H76" s="82"/>
      <c r="I76" s="83"/>
      <c r="J76" s="28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</row>
    <row r="77" spans="1:39" ht="19.5" customHeight="1" x14ac:dyDescent="0.35">
      <c r="A77" s="14"/>
      <c r="B77" s="17"/>
      <c r="C77" s="18"/>
      <c r="D77" s="19"/>
      <c r="E77" s="28"/>
      <c r="F77" s="14"/>
      <c r="G77" s="87"/>
      <c r="H77" s="82"/>
      <c r="I77" s="83"/>
      <c r="J77" s="28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</row>
    <row r="78" spans="1:39" ht="19.5" customHeight="1" x14ac:dyDescent="0.35">
      <c r="A78" s="14"/>
      <c r="B78" s="17"/>
      <c r="C78" s="90"/>
      <c r="D78" s="88"/>
      <c r="E78" s="28"/>
      <c r="F78" s="14"/>
      <c r="G78" s="87"/>
      <c r="H78" s="82"/>
      <c r="I78" s="83"/>
      <c r="J78" s="28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</row>
    <row r="79" spans="1:39" ht="19.5" customHeight="1" x14ac:dyDescent="0.35">
      <c r="A79" s="14"/>
      <c r="B79" s="17"/>
      <c r="C79" s="90"/>
      <c r="D79" s="88"/>
      <c r="E79" s="28"/>
      <c r="F79" s="14"/>
      <c r="G79" s="87"/>
      <c r="H79" s="82"/>
      <c r="I79" s="83"/>
      <c r="J79" s="28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</row>
    <row r="80" spans="1:39" ht="19.5" customHeight="1" x14ac:dyDescent="0.35">
      <c r="A80" s="14"/>
      <c r="B80" s="17"/>
      <c r="C80" s="90"/>
      <c r="D80" s="88"/>
      <c r="E80" s="28"/>
      <c r="F80" s="14"/>
      <c r="G80" s="87"/>
      <c r="H80" s="82"/>
      <c r="I80" s="83"/>
      <c r="J80" s="28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</row>
    <row r="81" spans="1:39" ht="19.5" customHeight="1" x14ac:dyDescent="0.35">
      <c r="A81" s="14"/>
      <c r="B81" s="17"/>
      <c r="C81" s="90"/>
      <c r="D81" s="88"/>
      <c r="E81" s="28"/>
      <c r="F81" s="14"/>
      <c r="G81" s="87"/>
      <c r="H81" s="82"/>
      <c r="I81" s="83"/>
      <c r="J81" s="28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</row>
  </sheetData>
  <mergeCells count="46">
    <mergeCell ref="S44:T44"/>
    <mergeCell ref="S33:T33"/>
    <mergeCell ref="S34:T34"/>
    <mergeCell ref="S35:T35"/>
    <mergeCell ref="S36:T36"/>
    <mergeCell ref="S37:T37"/>
    <mergeCell ref="S38:T38"/>
    <mergeCell ref="S39:T39"/>
    <mergeCell ref="M43:N43"/>
    <mergeCell ref="M44:N44"/>
    <mergeCell ref="M32:N32"/>
    <mergeCell ref="M33:N33"/>
    <mergeCell ref="M34:N34"/>
    <mergeCell ref="M35:N35"/>
    <mergeCell ref="M36:N36"/>
    <mergeCell ref="M37:N37"/>
    <mergeCell ref="M38:N38"/>
    <mergeCell ref="S32:T32"/>
    <mergeCell ref="M39:N39"/>
    <mergeCell ref="M40:N40"/>
    <mergeCell ref="M41:N41"/>
    <mergeCell ref="M42:N42"/>
    <mergeCell ref="S40:T40"/>
    <mergeCell ref="S41:T41"/>
    <mergeCell ref="M29:N29"/>
    <mergeCell ref="S29:T29"/>
    <mergeCell ref="M30:N30"/>
    <mergeCell ref="S30:T30"/>
    <mergeCell ref="M31:N31"/>
    <mergeCell ref="S31:T31"/>
    <mergeCell ref="M23:N23"/>
    <mergeCell ref="U23:W23"/>
    <mergeCell ref="M24:N24"/>
    <mergeCell ref="M27:N27"/>
    <mergeCell ref="M28:N28"/>
    <mergeCell ref="T18:V18"/>
    <mergeCell ref="T19:V19"/>
    <mergeCell ref="S27:T27"/>
    <mergeCell ref="S28:T28"/>
    <mergeCell ref="S20:W20"/>
    <mergeCell ref="U21:W21"/>
    <mergeCell ref="B1:J1"/>
    <mergeCell ref="M3:P4"/>
    <mergeCell ref="U3:V3"/>
    <mergeCell ref="T16:V16"/>
    <mergeCell ref="T17:V17"/>
  </mergeCells>
  <conditionalFormatting sqref="M27:N44 S27:S44">
    <cfRule type="notContainsBlanks" dxfId="9" priority="1">
      <formula>LEN(TRIM(M27))&gt;0</formula>
    </cfRule>
  </conditionalFormatting>
  <conditionalFormatting sqref="O44">
    <cfRule type="expression" dxfId="8" priority="2">
      <formula>NOT(ISBLANK(M44))</formula>
    </cfRule>
  </conditionalFormatting>
  <conditionalFormatting sqref="U34:U44">
    <cfRule type="expression" dxfId="7" priority="3">
      <formula>NOT(ISBLANK(S34))</formula>
    </cfRule>
  </conditionalFormatting>
  <conditionalFormatting sqref="W34:W44 Q42:Q44">
    <cfRule type="cellIs" dxfId="6" priority="4" operator="lessThan">
      <formula>0</formula>
    </cfRule>
    <cfRule type="cellIs" dxfId="5" priority="5" operator="equal">
      <formula>0</formula>
    </cfRule>
  </conditionalFormatting>
  <dataValidations count="2">
    <dataValidation type="list" allowBlank="1" sqref="J5:J81" xr:uid="{00000000-0002-0000-0200-000001000000}">
      <formula1>$S$27:$T$33</formula1>
    </dataValidation>
    <dataValidation type="list" allowBlank="1" sqref="E5:E9 E13 E17:E18 E22:E28 E32:E81" xr:uid="{00000000-0002-0000-0200-000002000000}">
      <formula1>$M$28:$N$43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'11-25'!#REF!</xm:f>
          </x14:formula1>
          <xm:sqref>E14:E16 E19:E21 E29:E31</xm:sqref>
        </x14:dataValidation>
        <x14:dataValidation type="list" allowBlank="1" xr:uid="{00000000-0002-0000-0200-000003000000}">
          <x14:formula1>
            <xm:f>'07-25'!#REF!</xm:f>
          </x14:formula1>
          <xm:sqref>E10:E12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34343"/>
    <outlinePr summaryBelow="0" summaryRight="0"/>
  </sheetPr>
  <dimension ref="A1:AM81"/>
  <sheetViews>
    <sheetView showGridLines="0" workbookViewId="0"/>
  </sheetViews>
  <sheetFormatPr defaultColWidth="12.59765625" defaultRowHeight="15.75" customHeight="1" x14ac:dyDescent="0.35"/>
  <cols>
    <col min="1" max="1" width="5.1328125" customWidth="1"/>
    <col min="2" max="2" width="10.46484375" customWidth="1"/>
    <col min="3" max="3" width="10" customWidth="1"/>
    <col min="4" max="4" width="20.86328125" customWidth="1"/>
    <col min="5" max="5" width="16.265625" customWidth="1"/>
    <col min="6" max="6" width="5.1328125" customWidth="1"/>
    <col min="9" max="9" width="13.265625" customWidth="1"/>
    <col min="11" max="12" width="6.59765625" customWidth="1"/>
    <col min="13" max="13" width="11.59765625" customWidth="1"/>
    <col min="14" max="14" width="10.86328125" customWidth="1"/>
    <col min="15" max="15" width="11.86328125" customWidth="1"/>
    <col min="16" max="16" width="19.3984375" customWidth="1"/>
    <col min="17" max="19" width="6.59765625" customWidth="1"/>
    <col min="20" max="20" width="19.1328125" customWidth="1"/>
    <col min="21" max="21" width="10.73046875" customWidth="1"/>
    <col min="22" max="39" width="6.59765625" customWidth="1"/>
  </cols>
  <sheetData>
    <row r="1" spans="1:39" ht="33" customHeight="1" x14ac:dyDescent="0.35">
      <c r="A1" s="1"/>
      <c r="B1" s="94" t="s">
        <v>102</v>
      </c>
      <c r="C1" s="95"/>
      <c r="D1" s="95"/>
      <c r="E1" s="95"/>
      <c r="F1" s="95"/>
      <c r="G1" s="95"/>
      <c r="H1" s="95"/>
      <c r="I1" s="95"/>
      <c r="J1" s="9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48" customHeight="1" x14ac:dyDescent="0.95">
      <c r="A2" s="2"/>
      <c r="B2" s="3" t="s">
        <v>1</v>
      </c>
      <c r="C2" s="2"/>
      <c r="D2" s="2"/>
      <c r="E2" s="2"/>
      <c r="F2" s="2"/>
      <c r="G2" s="3" t="s">
        <v>2</v>
      </c>
      <c r="H2" s="2"/>
      <c r="I2" s="2"/>
      <c r="J2" s="2"/>
      <c r="K2" s="2"/>
      <c r="L2" s="4"/>
      <c r="M2" s="5"/>
      <c r="N2" s="5"/>
      <c r="O2" s="5"/>
      <c r="P2" s="6"/>
      <c r="Q2" s="7"/>
      <c r="R2" s="8"/>
      <c r="S2" s="7"/>
      <c r="T2" s="7"/>
      <c r="U2" s="7"/>
      <c r="V2" s="7"/>
      <c r="W2" s="7"/>
      <c r="X2" s="7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39" ht="12" customHeight="1" x14ac:dyDescent="0.6">
      <c r="A3" s="4"/>
      <c r="B3" s="9"/>
      <c r="C3" s="9"/>
      <c r="D3" s="9"/>
      <c r="E3" s="9"/>
      <c r="F3" s="4"/>
      <c r="G3" s="9"/>
      <c r="H3" s="9"/>
      <c r="I3" s="9"/>
      <c r="J3" s="9"/>
      <c r="K3" s="4"/>
      <c r="L3" s="10"/>
      <c r="M3" s="96" t="s">
        <v>3</v>
      </c>
      <c r="N3" s="95"/>
      <c r="O3" s="95"/>
      <c r="P3" s="95"/>
      <c r="Q3" s="7"/>
      <c r="R3" s="11"/>
      <c r="S3" s="7"/>
      <c r="T3" s="12"/>
      <c r="U3" s="97"/>
      <c r="V3" s="95"/>
      <c r="W3" s="13"/>
      <c r="X3" s="7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</row>
    <row r="4" spans="1:39" ht="24" customHeight="1" x14ac:dyDescent="0.35">
      <c r="A4" s="14"/>
      <c r="B4" s="15" t="s">
        <v>4</v>
      </c>
      <c r="C4" s="15" t="s">
        <v>5</v>
      </c>
      <c r="D4" s="15" t="s">
        <v>6</v>
      </c>
      <c r="E4" s="15" t="s">
        <v>7</v>
      </c>
      <c r="F4" s="14"/>
      <c r="G4" s="15" t="s">
        <v>4</v>
      </c>
      <c r="H4" s="15" t="s">
        <v>5</v>
      </c>
      <c r="I4" s="15" t="s">
        <v>6</v>
      </c>
      <c r="J4" s="15" t="s">
        <v>7</v>
      </c>
      <c r="K4" s="14"/>
      <c r="L4" s="10"/>
      <c r="M4" s="95"/>
      <c r="N4" s="95"/>
      <c r="O4" s="95"/>
      <c r="P4" s="95"/>
      <c r="Q4" s="7"/>
      <c r="R4" s="11"/>
      <c r="S4" s="7"/>
      <c r="T4" s="16"/>
      <c r="U4" s="7"/>
      <c r="V4" s="7"/>
      <c r="W4" s="11"/>
      <c r="X4" s="7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</row>
    <row r="5" spans="1:39" ht="19.5" customHeight="1" x14ac:dyDescent="0.35">
      <c r="A5" s="14"/>
      <c r="B5" s="17">
        <v>46113</v>
      </c>
      <c r="C5" s="18">
        <v>794</v>
      </c>
      <c r="D5" s="19" t="s">
        <v>8</v>
      </c>
      <c r="E5" s="20" t="s">
        <v>9</v>
      </c>
      <c r="F5" s="14"/>
      <c r="G5" s="17">
        <v>46113</v>
      </c>
      <c r="H5" s="18">
        <v>239000</v>
      </c>
      <c r="I5" s="21" t="s">
        <v>10</v>
      </c>
      <c r="J5" s="20" t="s">
        <v>11</v>
      </c>
      <c r="K5" s="14"/>
      <c r="L5" s="7"/>
      <c r="M5" s="22"/>
      <c r="N5" s="22"/>
      <c r="O5" s="22"/>
      <c r="P5" s="22"/>
      <c r="Q5" s="7"/>
      <c r="R5" s="11"/>
      <c r="S5" s="7"/>
      <c r="T5" s="16"/>
      <c r="U5" s="7"/>
      <c r="V5" s="7"/>
      <c r="W5" s="11"/>
      <c r="X5" s="7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</row>
    <row r="6" spans="1:39" ht="19.5" customHeight="1" x14ac:dyDescent="0.35">
      <c r="A6" s="14"/>
      <c r="B6" s="17">
        <v>46113</v>
      </c>
      <c r="C6" s="18">
        <v>10000</v>
      </c>
      <c r="D6" s="19" t="s">
        <v>12</v>
      </c>
      <c r="E6" s="23" t="s">
        <v>13</v>
      </c>
      <c r="F6" s="14"/>
      <c r="G6" s="24"/>
      <c r="H6" s="25"/>
      <c r="I6" s="26"/>
      <c r="J6" s="23"/>
      <c r="K6" s="14"/>
      <c r="L6" s="7"/>
      <c r="M6" s="22"/>
      <c r="N6" s="22"/>
      <c r="O6" s="22"/>
      <c r="P6" s="22"/>
      <c r="Q6" s="7"/>
      <c r="R6" s="11"/>
      <c r="S6" s="7"/>
      <c r="T6" s="16"/>
      <c r="U6" s="7"/>
      <c r="V6" s="7"/>
      <c r="W6" s="11"/>
      <c r="X6" s="7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</row>
    <row r="7" spans="1:39" ht="19.5" customHeight="1" x14ac:dyDescent="0.35">
      <c r="A7" s="14"/>
      <c r="B7" s="17">
        <v>46113</v>
      </c>
      <c r="C7" s="18">
        <v>16000</v>
      </c>
      <c r="D7" s="27" t="s">
        <v>14</v>
      </c>
      <c r="E7" s="23" t="s">
        <v>13</v>
      </c>
      <c r="F7" s="14"/>
      <c r="G7" s="24"/>
      <c r="H7" s="25"/>
      <c r="I7" s="26"/>
      <c r="J7" s="23"/>
      <c r="K7" s="14"/>
      <c r="L7" s="7"/>
      <c r="M7" s="22"/>
      <c r="N7" s="22"/>
      <c r="O7" s="22"/>
      <c r="P7" s="22"/>
      <c r="Q7" s="7"/>
      <c r="R7" s="11"/>
      <c r="S7" s="7"/>
      <c r="T7" s="16"/>
      <c r="U7" s="7"/>
      <c r="V7" s="7"/>
      <c r="W7" s="11"/>
      <c r="X7" s="7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</row>
    <row r="8" spans="1:39" ht="19.5" customHeight="1" x14ac:dyDescent="0.35">
      <c r="A8" s="14"/>
      <c r="B8" s="17">
        <v>46113</v>
      </c>
      <c r="C8" s="18">
        <v>279</v>
      </c>
      <c r="D8" s="19" t="s">
        <v>15</v>
      </c>
      <c r="E8" s="23" t="s">
        <v>16</v>
      </c>
      <c r="F8" s="14"/>
      <c r="G8" s="24"/>
      <c r="H8" s="25"/>
      <c r="I8" s="26"/>
      <c r="J8" s="23"/>
      <c r="K8" s="14"/>
      <c r="L8" s="7"/>
      <c r="M8" s="22"/>
      <c r="N8" s="22"/>
      <c r="O8" s="22"/>
      <c r="P8" s="22"/>
      <c r="Q8" s="7"/>
      <c r="R8" s="11"/>
      <c r="S8" s="7"/>
      <c r="T8" s="16"/>
      <c r="U8" s="7"/>
      <c r="V8" s="7"/>
      <c r="W8" s="11"/>
      <c r="X8" s="7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</row>
    <row r="9" spans="1:39" ht="19.5" customHeight="1" x14ac:dyDescent="0.35">
      <c r="A9" s="14"/>
      <c r="B9" s="17">
        <v>46113</v>
      </c>
      <c r="C9" s="18">
        <v>15229</v>
      </c>
      <c r="D9" s="19" t="s">
        <v>17</v>
      </c>
      <c r="E9" s="20" t="s">
        <v>9</v>
      </c>
      <c r="F9" s="14"/>
      <c r="G9" s="24"/>
      <c r="H9" s="25"/>
      <c r="I9" s="26"/>
      <c r="J9" s="23"/>
      <c r="K9" s="14"/>
      <c r="L9" s="7"/>
      <c r="M9" s="22"/>
      <c r="N9" s="22"/>
      <c r="O9" s="22"/>
      <c r="P9" s="22"/>
      <c r="Q9" s="7"/>
      <c r="R9" s="11"/>
      <c r="S9" s="7"/>
      <c r="T9" s="16"/>
      <c r="U9" s="7"/>
      <c r="V9" s="7"/>
      <c r="W9" s="11"/>
      <c r="X9" s="7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</row>
    <row r="10" spans="1:39" ht="19.5" customHeight="1" x14ac:dyDescent="0.35">
      <c r="A10" s="14"/>
      <c r="B10" s="17">
        <v>46113</v>
      </c>
      <c r="C10" s="18">
        <v>9600</v>
      </c>
      <c r="D10" s="19" t="s">
        <v>18</v>
      </c>
      <c r="E10" s="20" t="s">
        <v>19</v>
      </c>
      <c r="F10" s="14"/>
      <c r="G10" s="24"/>
      <c r="H10" s="25"/>
      <c r="I10" s="26"/>
      <c r="J10" s="23"/>
      <c r="K10" s="14"/>
      <c r="L10" s="7"/>
      <c r="M10" s="22"/>
      <c r="N10" s="22"/>
      <c r="O10" s="22"/>
      <c r="P10" s="22"/>
      <c r="Q10" s="7"/>
      <c r="R10" s="11"/>
      <c r="S10" s="7"/>
      <c r="T10" s="16"/>
      <c r="U10" s="7"/>
      <c r="V10" s="7"/>
      <c r="W10" s="11"/>
      <c r="X10" s="7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</row>
    <row r="11" spans="1:39" ht="19.5" customHeight="1" x14ac:dyDescent="0.35">
      <c r="A11" s="14"/>
      <c r="B11" s="17">
        <v>46132</v>
      </c>
      <c r="C11" s="18">
        <v>150000</v>
      </c>
      <c r="D11" s="19" t="s">
        <v>103</v>
      </c>
      <c r="E11" s="20" t="s">
        <v>21</v>
      </c>
      <c r="F11" s="14"/>
      <c r="G11" s="24"/>
      <c r="H11" s="25"/>
      <c r="I11" s="26"/>
      <c r="J11" s="23"/>
      <c r="K11" s="14"/>
      <c r="L11" s="7"/>
      <c r="M11" s="22"/>
      <c r="N11" s="22"/>
      <c r="O11" s="22"/>
      <c r="P11" s="22"/>
      <c r="Q11" s="7"/>
      <c r="R11" s="11"/>
      <c r="S11" s="7"/>
      <c r="T11" s="16"/>
      <c r="U11" s="7"/>
      <c r="V11" s="7"/>
      <c r="W11" s="11"/>
      <c r="X11" s="7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</row>
    <row r="12" spans="1:39" ht="19.5" customHeight="1" x14ac:dyDescent="0.35">
      <c r="A12" s="14"/>
      <c r="B12" s="17">
        <v>46113</v>
      </c>
      <c r="C12" s="18">
        <v>2500</v>
      </c>
      <c r="D12" s="19" t="s">
        <v>22</v>
      </c>
      <c r="E12" s="20" t="s">
        <v>9</v>
      </c>
      <c r="F12" s="14"/>
      <c r="G12" s="24"/>
      <c r="H12" s="25"/>
      <c r="I12" s="26"/>
      <c r="J12" s="23"/>
      <c r="K12" s="14"/>
      <c r="L12" s="7"/>
      <c r="M12" s="22"/>
      <c r="N12" s="22"/>
      <c r="O12" s="22"/>
      <c r="P12" s="22"/>
      <c r="Q12" s="7"/>
      <c r="R12" s="11"/>
      <c r="S12" s="7"/>
      <c r="T12" s="16"/>
      <c r="U12" s="7"/>
      <c r="V12" s="7"/>
      <c r="W12" s="11"/>
      <c r="X12" s="7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</row>
    <row r="13" spans="1:39" ht="19.5" customHeight="1" x14ac:dyDescent="0.35">
      <c r="A13" s="14"/>
      <c r="B13" s="17">
        <v>46113</v>
      </c>
      <c r="C13" s="18">
        <v>13683</v>
      </c>
      <c r="D13" s="19" t="s">
        <v>23</v>
      </c>
      <c r="E13" s="28" t="s">
        <v>19</v>
      </c>
      <c r="F13" s="14"/>
      <c r="G13" s="24"/>
      <c r="H13" s="25"/>
      <c r="I13" s="26"/>
      <c r="J13" s="23"/>
      <c r="K13" s="14"/>
      <c r="L13" s="7"/>
      <c r="M13" s="22"/>
      <c r="N13" s="22"/>
      <c r="O13" s="22"/>
      <c r="P13" s="22"/>
      <c r="Q13" s="7"/>
      <c r="R13" s="29"/>
      <c r="S13" s="30"/>
      <c r="T13" s="31"/>
      <c r="U13" s="30"/>
      <c r="V13" s="30"/>
      <c r="W13" s="29"/>
      <c r="X13" s="30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</row>
    <row r="14" spans="1:39" ht="19.5" customHeight="1" x14ac:dyDescent="0.6">
      <c r="A14" s="14"/>
      <c r="B14" s="17">
        <v>46113</v>
      </c>
      <c r="C14" s="18">
        <v>3207</v>
      </c>
      <c r="D14" s="19" t="s">
        <v>104</v>
      </c>
      <c r="E14" s="23" t="s">
        <v>25</v>
      </c>
      <c r="F14" s="14"/>
      <c r="G14" s="24"/>
      <c r="H14" s="25"/>
      <c r="I14" s="26"/>
      <c r="J14" s="23"/>
      <c r="K14" s="14"/>
      <c r="L14" s="4"/>
      <c r="M14" s="32"/>
      <c r="N14" s="32"/>
      <c r="O14" s="33"/>
      <c r="P14" s="4"/>
      <c r="Q14" s="4"/>
      <c r="R14" s="34"/>
      <c r="S14" s="34"/>
      <c r="T14" s="34"/>
      <c r="U14" s="34"/>
      <c r="V14" s="34"/>
      <c r="W14" s="35"/>
      <c r="X14" s="35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</row>
    <row r="15" spans="1:39" ht="19.5" customHeight="1" x14ac:dyDescent="0.6">
      <c r="A15" s="14"/>
      <c r="B15" s="17">
        <v>46113</v>
      </c>
      <c r="C15" s="18">
        <v>170</v>
      </c>
      <c r="D15" s="19" t="s">
        <v>105</v>
      </c>
      <c r="E15" s="23" t="s">
        <v>25</v>
      </c>
      <c r="F15" s="14"/>
      <c r="G15" s="24"/>
      <c r="H15" s="25"/>
      <c r="I15" s="26"/>
      <c r="J15" s="23"/>
      <c r="K15" s="14"/>
      <c r="L15" s="12"/>
      <c r="M15" s="4"/>
      <c r="N15" s="12"/>
      <c r="O15" s="36"/>
      <c r="P15" s="4"/>
      <c r="Q15" s="4"/>
      <c r="R15" s="35"/>
      <c r="S15" s="34"/>
      <c r="T15" s="34"/>
      <c r="U15" s="34"/>
      <c r="V15" s="34"/>
      <c r="W15" s="34"/>
      <c r="X15" s="3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</row>
    <row r="16" spans="1:39" ht="19.5" customHeight="1" x14ac:dyDescent="1.35">
      <c r="A16" s="14"/>
      <c r="B16" s="17">
        <v>46113</v>
      </c>
      <c r="C16" s="18">
        <v>2000</v>
      </c>
      <c r="D16" s="19" t="s">
        <v>106</v>
      </c>
      <c r="E16" s="23" t="s">
        <v>49</v>
      </c>
      <c r="F16" s="14"/>
      <c r="G16" s="24"/>
      <c r="H16" s="25"/>
      <c r="I16" s="26"/>
      <c r="J16" s="23"/>
      <c r="K16" s="14"/>
      <c r="L16" s="12"/>
      <c r="M16" s="4"/>
      <c r="N16" s="36"/>
      <c r="O16" s="36"/>
      <c r="P16" s="4"/>
      <c r="Q16" s="4"/>
      <c r="R16" s="35"/>
      <c r="S16" s="34"/>
      <c r="T16" s="98"/>
      <c r="U16" s="95"/>
      <c r="V16" s="95"/>
      <c r="W16" s="34"/>
      <c r="X16" s="37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</row>
    <row r="17" spans="1:39" ht="19.5" customHeight="1" x14ac:dyDescent="1.35">
      <c r="A17" s="14"/>
      <c r="B17" s="17">
        <v>46118</v>
      </c>
      <c r="C17" s="18">
        <v>892</v>
      </c>
      <c r="D17" s="19" t="s">
        <v>28</v>
      </c>
      <c r="E17" s="23" t="s">
        <v>29</v>
      </c>
      <c r="F17" s="14"/>
      <c r="G17" s="24"/>
      <c r="H17" s="25"/>
      <c r="I17" s="26"/>
      <c r="J17" s="23"/>
      <c r="K17" s="14"/>
      <c r="L17" s="4"/>
      <c r="M17" s="4"/>
      <c r="N17" s="36"/>
      <c r="O17" s="36"/>
      <c r="P17" s="4"/>
      <c r="Q17" s="4"/>
      <c r="R17" s="35"/>
      <c r="S17" s="34"/>
      <c r="T17" s="99"/>
      <c r="U17" s="95"/>
      <c r="V17" s="95"/>
      <c r="W17" s="34"/>
      <c r="X17" s="38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</row>
    <row r="18" spans="1:39" ht="19.5" customHeight="1" x14ac:dyDescent="1.35">
      <c r="A18" s="14"/>
      <c r="B18" s="17">
        <v>46118</v>
      </c>
      <c r="C18" s="18">
        <v>928</v>
      </c>
      <c r="D18" s="19" t="s">
        <v>30</v>
      </c>
      <c r="E18" s="23" t="s">
        <v>29</v>
      </c>
      <c r="F18" s="14"/>
      <c r="G18" s="24"/>
      <c r="H18" s="25"/>
      <c r="I18" s="26"/>
      <c r="J18" s="23"/>
      <c r="K18" s="14"/>
      <c r="L18" s="4"/>
      <c r="M18" s="4"/>
      <c r="N18" s="36"/>
      <c r="O18" s="36"/>
      <c r="P18" s="4"/>
      <c r="Q18" s="4"/>
      <c r="R18" s="39"/>
      <c r="S18" s="34"/>
      <c r="T18" s="100"/>
      <c r="U18" s="95"/>
      <c r="V18" s="95"/>
      <c r="W18" s="34"/>
      <c r="X18" s="38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</row>
    <row r="19" spans="1:39" ht="19.5" customHeight="1" x14ac:dyDescent="0.8">
      <c r="A19" s="14"/>
      <c r="B19" s="17">
        <v>46118</v>
      </c>
      <c r="C19" s="18">
        <v>930</v>
      </c>
      <c r="D19" s="19" t="s">
        <v>31</v>
      </c>
      <c r="E19" s="23" t="s">
        <v>29</v>
      </c>
      <c r="F19" s="14"/>
      <c r="G19" s="24"/>
      <c r="H19" s="25"/>
      <c r="I19" s="26"/>
      <c r="J19" s="23"/>
      <c r="K19" s="14"/>
      <c r="L19" s="4"/>
      <c r="M19" s="32"/>
      <c r="N19" s="40"/>
      <c r="O19" s="41"/>
      <c r="P19" s="42"/>
      <c r="Q19" s="40"/>
      <c r="R19" s="43"/>
      <c r="S19" s="34"/>
      <c r="T19" s="101"/>
      <c r="U19" s="95"/>
      <c r="V19" s="95"/>
      <c r="W19" s="34"/>
      <c r="X19" s="4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</row>
    <row r="20" spans="1:39" ht="19.5" customHeight="1" x14ac:dyDescent="0.35">
      <c r="A20" s="14"/>
      <c r="B20" s="17">
        <v>46116</v>
      </c>
      <c r="C20" s="18">
        <v>115</v>
      </c>
      <c r="D20" s="19" t="s">
        <v>100</v>
      </c>
      <c r="E20" s="23" t="s">
        <v>38</v>
      </c>
      <c r="F20" s="14"/>
      <c r="G20" s="24"/>
      <c r="H20" s="25"/>
      <c r="I20" s="26"/>
      <c r="J20" s="23"/>
      <c r="K20" s="14"/>
      <c r="L20" s="45"/>
      <c r="M20" s="46" t="s">
        <v>1</v>
      </c>
      <c r="N20" s="46"/>
      <c r="O20" s="47" t="s">
        <v>34</v>
      </c>
      <c r="P20" s="46"/>
      <c r="Q20" s="46"/>
      <c r="R20" s="48"/>
      <c r="S20" s="106" t="s">
        <v>2</v>
      </c>
      <c r="T20" s="95"/>
      <c r="U20" s="95"/>
      <c r="V20" s="95"/>
      <c r="W20" s="95"/>
      <c r="X20" s="48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</row>
    <row r="21" spans="1:39" ht="19.5" customHeight="1" x14ac:dyDescent="0.35">
      <c r="A21" s="14"/>
      <c r="B21" s="17">
        <v>46116</v>
      </c>
      <c r="C21" s="18">
        <v>570</v>
      </c>
      <c r="D21" s="19" t="s">
        <v>107</v>
      </c>
      <c r="E21" s="23" t="s">
        <v>25</v>
      </c>
      <c r="F21" s="14"/>
      <c r="G21" s="24"/>
      <c r="H21" s="25"/>
      <c r="I21" s="26"/>
      <c r="J21" s="23"/>
      <c r="K21" s="14"/>
      <c r="L21" s="14"/>
      <c r="M21" s="47" t="s">
        <v>36</v>
      </c>
      <c r="N21" s="49">
        <f>O26</f>
        <v>253742</v>
      </c>
      <c r="O21" s="49">
        <f>SUM(O28:O40,O42,O43)</f>
        <v>103742</v>
      </c>
      <c r="P21" s="50"/>
      <c r="Q21" s="50"/>
      <c r="R21" s="51"/>
      <c r="S21" s="47" t="s">
        <v>36</v>
      </c>
      <c r="T21" s="49">
        <f>U26</f>
        <v>239000</v>
      </c>
      <c r="U21" s="107" t="str">
        <f ca="1">IFERROR(__xludf.DUMMYFUNCTION("SPARKLINE(T21,{""charttype"",""bar"";""max"",max(T21);""color1"",""#334960""})"),"")</f>
        <v/>
      </c>
      <c r="V21" s="95"/>
      <c r="W21" s="95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</row>
    <row r="22" spans="1:39" ht="19.5" customHeight="1" x14ac:dyDescent="0.35">
      <c r="A22" s="14"/>
      <c r="B22" s="17">
        <v>46116</v>
      </c>
      <c r="C22" s="18">
        <v>450</v>
      </c>
      <c r="D22" s="19" t="s">
        <v>91</v>
      </c>
      <c r="E22" s="23" t="s">
        <v>27</v>
      </c>
      <c r="F22" s="14"/>
      <c r="G22" s="24"/>
      <c r="H22" s="25"/>
      <c r="I22" s="26"/>
      <c r="J22" s="23"/>
      <c r="K22" s="14"/>
      <c r="L22" s="14"/>
      <c r="M22" s="47" t="s">
        <v>39</v>
      </c>
      <c r="N22" s="49">
        <f>SUM(O28:O37,O39,O42,O43)</f>
        <v>54459</v>
      </c>
      <c r="O22" s="50"/>
      <c r="P22" s="50"/>
      <c r="Q22" s="50"/>
      <c r="R22" s="51"/>
      <c r="S22" s="47"/>
      <c r="T22" s="49"/>
      <c r="U22" s="50"/>
      <c r="V22" s="50"/>
      <c r="W22" s="50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</row>
    <row r="23" spans="1:39" ht="19.5" customHeight="1" x14ac:dyDescent="0.6">
      <c r="A23" s="14"/>
      <c r="B23" s="17">
        <v>46116</v>
      </c>
      <c r="C23" s="18">
        <v>90</v>
      </c>
      <c r="D23" s="19" t="s">
        <v>94</v>
      </c>
      <c r="E23" s="23" t="s">
        <v>25</v>
      </c>
      <c r="F23" s="14"/>
      <c r="G23" s="24"/>
      <c r="H23" s="25"/>
      <c r="I23" s="26"/>
      <c r="J23" s="23"/>
      <c r="K23" s="14"/>
      <c r="L23" s="4"/>
      <c r="M23" s="108" t="s">
        <v>42</v>
      </c>
      <c r="N23" s="95"/>
      <c r="O23" s="52">
        <f>T21-N21</f>
        <v>-14742</v>
      </c>
      <c r="P23" s="46"/>
      <c r="Q23" s="46"/>
      <c r="R23" s="4"/>
      <c r="T23" s="53"/>
      <c r="U23" s="109"/>
      <c r="V23" s="95"/>
      <c r="W23" s="95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</row>
    <row r="24" spans="1:39" ht="19.5" customHeight="1" x14ac:dyDescent="0.35">
      <c r="A24" s="14"/>
      <c r="B24" s="17">
        <v>46117</v>
      </c>
      <c r="C24" s="18">
        <v>525</v>
      </c>
      <c r="D24" s="19" t="s">
        <v>35</v>
      </c>
      <c r="E24" s="23" t="s">
        <v>27</v>
      </c>
      <c r="F24" s="14"/>
      <c r="G24" s="24"/>
      <c r="H24" s="25"/>
      <c r="I24" s="26"/>
      <c r="J24" s="23"/>
      <c r="K24" s="14"/>
      <c r="L24" s="54"/>
      <c r="M24" s="110" t="s">
        <v>1</v>
      </c>
      <c r="N24" s="95"/>
      <c r="O24" s="55"/>
      <c r="P24" s="55"/>
      <c r="Q24" s="55"/>
      <c r="R24" s="56"/>
      <c r="S24" s="57" t="s">
        <v>2</v>
      </c>
      <c r="T24" s="58"/>
      <c r="U24" s="55"/>
      <c r="V24" s="55"/>
      <c r="W24" s="55"/>
      <c r="X24" s="5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</row>
    <row r="25" spans="1:39" ht="19.5" customHeight="1" x14ac:dyDescent="1.05">
      <c r="A25" s="14"/>
      <c r="B25" s="17">
        <v>46117</v>
      </c>
      <c r="C25" s="18">
        <v>380</v>
      </c>
      <c r="D25" s="19" t="s">
        <v>108</v>
      </c>
      <c r="E25" s="23" t="s">
        <v>25</v>
      </c>
      <c r="F25" s="14"/>
      <c r="G25" s="24"/>
      <c r="H25" s="25"/>
      <c r="I25" s="26"/>
      <c r="J25" s="23"/>
      <c r="K25" s="14"/>
      <c r="L25" s="59"/>
      <c r="M25" s="60"/>
      <c r="N25" s="61"/>
      <c r="O25" s="60" t="s">
        <v>36</v>
      </c>
      <c r="R25" s="62"/>
      <c r="S25" s="63"/>
      <c r="T25" s="64"/>
      <c r="U25" s="60" t="s">
        <v>36</v>
      </c>
      <c r="X25" s="59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</row>
    <row r="26" spans="1:39" ht="19.5" customHeight="1" x14ac:dyDescent="0.35">
      <c r="A26" s="14"/>
      <c r="B26" s="17">
        <v>46119</v>
      </c>
      <c r="C26" s="18">
        <v>1620</v>
      </c>
      <c r="D26" s="19" t="s">
        <v>109</v>
      </c>
      <c r="E26" s="23" t="s">
        <v>62</v>
      </c>
      <c r="F26" s="14"/>
      <c r="G26" s="24"/>
      <c r="H26" s="25"/>
      <c r="I26" s="26"/>
      <c r="J26" s="23"/>
      <c r="K26" s="14"/>
      <c r="L26" s="65"/>
      <c r="M26" s="66" t="s">
        <v>44</v>
      </c>
      <c r="N26" s="66"/>
      <c r="O26" s="67">
        <f>SUM(O27:P81)</f>
        <v>253742</v>
      </c>
      <c r="R26" s="68"/>
      <c r="S26" s="69" t="s">
        <v>44</v>
      </c>
      <c r="T26" s="70"/>
      <c r="U26" s="67">
        <f>SUM(U27:U44)</f>
        <v>239000</v>
      </c>
      <c r="X26" s="65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</row>
    <row r="27" spans="1:39" ht="19.5" customHeight="1" x14ac:dyDescent="0.35">
      <c r="A27" s="14"/>
      <c r="B27" s="17">
        <v>46119</v>
      </c>
      <c r="C27" s="18">
        <v>74</v>
      </c>
      <c r="D27" s="19" t="s">
        <v>110</v>
      </c>
      <c r="E27" s="23" t="s">
        <v>38</v>
      </c>
      <c r="F27" s="14"/>
      <c r="G27" s="24"/>
      <c r="H27" s="25"/>
      <c r="I27" s="26"/>
      <c r="J27" s="23"/>
      <c r="K27" s="14"/>
      <c r="L27" s="71"/>
      <c r="M27" s="111"/>
      <c r="N27" s="112"/>
      <c r="O27" s="72">
        <f>IF(ISBLANK($B29), "", SUMIF('04-26'!$E:$E,$B29,'04-26'!$C:$C))</f>
        <v>0</v>
      </c>
      <c r="R27" s="73"/>
      <c r="S27" s="102"/>
      <c r="T27" s="103"/>
      <c r="U27" s="72" t="str">
        <f>IF(ISBLANK($H27), "", SUMIF('04-26'!$J:$J,$H27,'04-26'!$H:$H))</f>
        <v/>
      </c>
      <c r="X27" s="71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</row>
    <row r="28" spans="1:39" ht="19.5" customHeight="1" x14ac:dyDescent="0.35">
      <c r="A28" s="14"/>
      <c r="B28" s="17">
        <v>46123</v>
      </c>
      <c r="C28" s="18">
        <v>300</v>
      </c>
      <c r="D28" s="19" t="s">
        <v>26</v>
      </c>
      <c r="E28" s="23" t="s">
        <v>27</v>
      </c>
      <c r="F28" s="14"/>
      <c r="G28" s="24"/>
      <c r="H28" s="25"/>
      <c r="I28" s="26"/>
      <c r="J28" s="23"/>
      <c r="K28" s="14"/>
      <c r="L28" s="71"/>
      <c r="M28" s="104" t="s">
        <v>27</v>
      </c>
      <c r="N28" s="105"/>
      <c r="O28" s="74">
        <f>IF(ISBLANK($M28), "", SUMIF('04-26'!$E:$E,$M28,'04-26'!$C:$C))</f>
        <v>5149</v>
      </c>
      <c r="R28" s="73"/>
      <c r="S28" s="104" t="s">
        <v>47</v>
      </c>
      <c r="T28" s="105"/>
      <c r="U28" s="74">
        <f>IF(ISBLANK($S28), "", SUMIF('04-26'!$J:$J,$S28,'04-26'!$H:$H))</f>
        <v>0</v>
      </c>
      <c r="X28" s="71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</row>
    <row r="29" spans="1:39" ht="19.5" customHeight="1" x14ac:dyDescent="0.35">
      <c r="A29" s="14"/>
      <c r="B29" s="17">
        <v>46123</v>
      </c>
      <c r="C29" s="18">
        <v>1700</v>
      </c>
      <c r="D29" s="19" t="s">
        <v>111</v>
      </c>
      <c r="E29" s="23" t="s">
        <v>41</v>
      </c>
      <c r="F29" s="14"/>
      <c r="G29" s="24"/>
      <c r="H29" s="25"/>
      <c r="I29" s="26"/>
      <c r="J29" s="23"/>
      <c r="K29" s="14"/>
      <c r="L29" s="71"/>
      <c r="M29" s="104" t="s">
        <v>50</v>
      </c>
      <c r="N29" s="105"/>
      <c r="O29" s="74">
        <f>IF(ISBLANK($M29), "", SUMIF('04-26'!$E:$E,$M29,'04-26'!$C:$C))</f>
        <v>0</v>
      </c>
      <c r="R29" s="73"/>
      <c r="S29" s="104" t="s">
        <v>11</v>
      </c>
      <c r="T29" s="105"/>
      <c r="U29" s="74">
        <f>IF(ISBLANK($S29), "", SUMIF('04-26'!$J:$J,$S29,'04-26'!$H:$H))</f>
        <v>239000</v>
      </c>
      <c r="X29" s="71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</row>
    <row r="30" spans="1:39" ht="19.5" customHeight="1" x14ac:dyDescent="0.35">
      <c r="A30" s="14"/>
      <c r="B30" s="17">
        <v>46124</v>
      </c>
      <c r="C30" s="18">
        <v>357</v>
      </c>
      <c r="D30" s="19" t="s">
        <v>66</v>
      </c>
      <c r="E30" s="23" t="s">
        <v>38</v>
      </c>
      <c r="F30" s="14"/>
      <c r="G30" s="24"/>
      <c r="H30" s="25"/>
      <c r="I30" s="26"/>
      <c r="J30" s="23"/>
      <c r="K30" s="14"/>
      <c r="L30" s="14"/>
      <c r="M30" s="104" t="s">
        <v>52</v>
      </c>
      <c r="N30" s="105"/>
      <c r="O30" s="74">
        <f>IF(ISBLANK($M30), "", SUMIF('04-26'!$E:$E,$M30,'04-26'!$C:$C))</f>
        <v>0</v>
      </c>
      <c r="R30" s="75"/>
      <c r="S30" s="104" t="s">
        <v>53</v>
      </c>
      <c r="T30" s="105"/>
      <c r="U30" s="74">
        <f>IF(ISBLANK($S30), "", SUMIF('04-26'!$J:$J,$S30,'04-26'!$H:$H))</f>
        <v>0</v>
      </c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</row>
    <row r="31" spans="1:39" ht="19.5" customHeight="1" x14ac:dyDescent="0.35">
      <c r="A31" s="14"/>
      <c r="B31" s="17">
        <v>46124</v>
      </c>
      <c r="C31" s="18">
        <v>300</v>
      </c>
      <c r="D31" s="19" t="s">
        <v>112</v>
      </c>
      <c r="E31" s="23" t="s">
        <v>25</v>
      </c>
      <c r="F31" s="14"/>
      <c r="G31" s="24"/>
      <c r="H31" s="25"/>
      <c r="I31" s="26"/>
      <c r="J31" s="23"/>
      <c r="K31" s="14"/>
      <c r="L31" s="14"/>
      <c r="M31" s="104" t="s">
        <v>41</v>
      </c>
      <c r="N31" s="105"/>
      <c r="O31" s="74">
        <f>IF(ISBLANK($M31), "", SUMIF('04-26'!$E:$E,$M31,'04-26'!$C:$C))</f>
        <v>1700</v>
      </c>
      <c r="R31" s="75"/>
      <c r="S31" s="104" t="s">
        <v>55</v>
      </c>
      <c r="T31" s="105"/>
      <c r="U31" s="74">
        <f>IF(ISBLANK($S31), "", SUMIF('04-26'!$J:$J,$S31,'04-26'!$H:$H))</f>
        <v>0</v>
      </c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</row>
    <row r="32" spans="1:39" ht="19.5" customHeight="1" x14ac:dyDescent="0.35">
      <c r="A32" s="14"/>
      <c r="B32" s="17">
        <v>46124</v>
      </c>
      <c r="C32" s="18">
        <v>530</v>
      </c>
      <c r="D32" s="19" t="s">
        <v>45</v>
      </c>
      <c r="E32" s="23" t="s">
        <v>38</v>
      </c>
      <c r="F32" s="14"/>
      <c r="G32" s="24"/>
      <c r="H32" s="25"/>
      <c r="I32" s="26"/>
      <c r="J32" s="23"/>
      <c r="K32" s="14"/>
      <c r="L32" s="14"/>
      <c r="M32" s="104" t="s">
        <v>49</v>
      </c>
      <c r="N32" s="105"/>
      <c r="O32" s="74">
        <f>IF(ISBLANK($M32), "", SUMIF('04-26'!$E:$E,$M32,'04-26'!$C:$C))</f>
        <v>2000</v>
      </c>
      <c r="R32" s="75"/>
      <c r="S32" s="104" t="s">
        <v>56</v>
      </c>
      <c r="T32" s="105"/>
      <c r="U32" s="74">
        <f>IF(ISBLANK($S32), "", SUMIF('04-26'!$J:$J,$S32,'04-26'!$H:$H))</f>
        <v>0</v>
      </c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</row>
    <row r="33" spans="1:39" ht="19.5" customHeight="1" x14ac:dyDescent="0.35">
      <c r="A33" s="14"/>
      <c r="B33" s="17">
        <v>46126</v>
      </c>
      <c r="C33" s="18">
        <v>617</v>
      </c>
      <c r="D33" s="19" t="s">
        <v>113</v>
      </c>
      <c r="E33" s="23" t="s">
        <v>16</v>
      </c>
      <c r="F33" s="14"/>
      <c r="G33" s="24"/>
      <c r="H33" s="25"/>
      <c r="I33" s="26"/>
      <c r="J33" s="23"/>
      <c r="K33" s="14"/>
      <c r="L33" s="14"/>
      <c r="M33" s="104" t="s">
        <v>25</v>
      </c>
      <c r="N33" s="105"/>
      <c r="O33" s="74">
        <f>IF(ISBLANK($M33), "", SUMIF('04-26'!$E:$E,$M33,'04-26'!$C:$C))</f>
        <v>4883</v>
      </c>
      <c r="R33" s="75"/>
      <c r="S33" s="104" t="s">
        <v>58</v>
      </c>
      <c r="T33" s="105"/>
      <c r="U33" s="74">
        <f>IF(ISBLANK($S33), "", SUMIF('04-26'!$J:$J,$S33,'04-26'!$H:$H))</f>
        <v>0</v>
      </c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</row>
    <row r="34" spans="1:39" ht="19.5" customHeight="1" x14ac:dyDescent="0.6">
      <c r="A34" s="14"/>
      <c r="B34" s="17">
        <v>46126</v>
      </c>
      <c r="C34" s="18">
        <v>505</v>
      </c>
      <c r="D34" s="19" t="s">
        <v>114</v>
      </c>
      <c r="E34" s="23" t="s">
        <v>38</v>
      </c>
      <c r="F34" s="14"/>
      <c r="G34" s="24"/>
      <c r="H34" s="76"/>
      <c r="I34" s="77"/>
      <c r="J34" s="78"/>
      <c r="K34" s="14"/>
      <c r="L34" s="14"/>
      <c r="M34" s="104" t="s">
        <v>38</v>
      </c>
      <c r="N34" s="105"/>
      <c r="O34" s="74">
        <f>IF(ISBLANK($M34), "", SUMIF('04-26'!$E:$E,$M34,'04-26'!$C:$C))</f>
        <v>8797</v>
      </c>
      <c r="R34" s="79"/>
      <c r="S34" s="113"/>
      <c r="T34" s="105"/>
      <c r="U34" s="80"/>
      <c r="V34" s="72" t="str">
        <f>IF(ISBLANK($H34), "", SUMIF('04-26'!$J:$J,$H34,'04-26'!$H:$H))</f>
        <v/>
      </c>
      <c r="W34" s="81" t="str">
        <f t="shared" ref="W34:W41" si="0">IF(ISBLANK($H34), "", V34-U34)</f>
        <v/>
      </c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</row>
    <row r="35" spans="1:39" ht="19.5" customHeight="1" x14ac:dyDescent="0.6">
      <c r="A35" s="14"/>
      <c r="B35" s="17">
        <v>46127</v>
      </c>
      <c r="C35" s="18">
        <v>110</v>
      </c>
      <c r="D35" s="19" t="s">
        <v>85</v>
      </c>
      <c r="E35" s="23" t="s">
        <v>25</v>
      </c>
      <c r="F35" s="14"/>
      <c r="G35" s="24"/>
      <c r="H35" s="82"/>
      <c r="I35" s="83"/>
      <c r="J35" s="28"/>
      <c r="K35" s="14"/>
      <c r="L35" s="14"/>
      <c r="M35" s="104" t="s">
        <v>9</v>
      </c>
      <c r="N35" s="105"/>
      <c r="O35" s="74">
        <f>IF(ISBLANK($M35), "", SUMIF('04-26'!$E:$E,$M35,'04-26'!$C:$C))</f>
        <v>21964</v>
      </c>
      <c r="R35" s="75"/>
      <c r="S35" s="113"/>
      <c r="T35" s="105"/>
      <c r="U35" s="80"/>
      <c r="V35" s="72" t="str">
        <f>IF(ISBLANK($H35), "", SUMIF('04-26'!$J:$J,$H35,'04-26'!$H:$H))</f>
        <v/>
      </c>
      <c r="W35" s="81" t="str">
        <f t="shared" si="0"/>
        <v/>
      </c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</row>
    <row r="36" spans="1:39" ht="19.5" customHeight="1" x14ac:dyDescent="0.6">
      <c r="A36" s="14"/>
      <c r="B36" s="17">
        <v>46129</v>
      </c>
      <c r="C36" s="18">
        <v>809</v>
      </c>
      <c r="D36" s="19" t="s">
        <v>35</v>
      </c>
      <c r="E36" s="23" t="s">
        <v>27</v>
      </c>
      <c r="F36" s="14"/>
      <c r="G36" s="24"/>
      <c r="H36" s="82"/>
      <c r="I36" s="83"/>
      <c r="J36" s="28"/>
      <c r="K36" s="14"/>
      <c r="L36" s="14"/>
      <c r="M36" s="104" t="s">
        <v>29</v>
      </c>
      <c r="N36" s="105"/>
      <c r="O36" s="74">
        <f>IF(ISBLANK($M36), "", SUMIF('04-26'!$E:$E,$M36,'04-26'!$C:$C))</f>
        <v>2750</v>
      </c>
      <c r="R36" s="75"/>
      <c r="S36" s="113"/>
      <c r="T36" s="105"/>
      <c r="U36" s="80"/>
      <c r="V36" s="72" t="str">
        <f>IF(ISBLANK($H36), "", SUMIF('04-26'!$J:$J,$H36,'04-26'!$H:$H))</f>
        <v/>
      </c>
      <c r="W36" s="81" t="str">
        <f t="shared" si="0"/>
        <v/>
      </c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</row>
    <row r="37" spans="1:39" ht="19.5" customHeight="1" x14ac:dyDescent="0.6">
      <c r="A37" s="14"/>
      <c r="B37" s="17">
        <v>46127</v>
      </c>
      <c r="C37" s="18">
        <v>5173</v>
      </c>
      <c r="D37" s="19" t="s">
        <v>115</v>
      </c>
      <c r="E37" s="23" t="s">
        <v>38</v>
      </c>
      <c r="F37" s="14"/>
      <c r="G37" s="24"/>
      <c r="H37" s="82"/>
      <c r="I37" s="83"/>
      <c r="J37" s="28"/>
      <c r="K37" s="14"/>
      <c r="L37" s="14"/>
      <c r="M37" s="104" t="s">
        <v>62</v>
      </c>
      <c r="N37" s="105"/>
      <c r="O37" s="74">
        <f>IF(ISBLANK($M37), "", SUMIF('04-26'!$E:$E,$M37,'04-26'!$C:$C))</f>
        <v>6320</v>
      </c>
      <c r="R37" s="75"/>
      <c r="S37" s="113"/>
      <c r="T37" s="105"/>
      <c r="U37" s="80"/>
      <c r="V37" s="72" t="str">
        <f>IF(ISBLANK($H37), "", SUMIF('04-26'!$J:$J,$H37,'04-26'!$H:$H))</f>
        <v/>
      </c>
      <c r="W37" s="81" t="str">
        <f t="shared" si="0"/>
        <v/>
      </c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</row>
    <row r="38" spans="1:39" ht="19.5" customHeight="1" x14ac:dyDescent="0.6">
      <c r="A38" s="14"/>
      <c r="B38" s="17">
        <v>46131</v>
      </c>
      <c r="C38" s="18">
        <v>28</v>
      </c>
      <c r="D38" s="19" t="s">
        <v>116</v>
      </c>
      <c r="E38" s="23" t="s">
        <v>38</v>
      </c>
      <c r="F38" s="14"/>
      <c r="G38" s="24"/>
      <c r="H38" s="82"/>
      <c r="I38" s="83"/>
      <c r="J38" s="28"/>
      <c r="K38" s="14"/>
      <c r="L38" s="14"/>
      <c r="M38" s="104" t="s">
        <v>19</v>
      </c>
      <c r="N38" s="105"/>
      <c r="O38" s="74">
        <f>IF(ISBLANK($M38), "", SUMIF('04-26'!$E:$E,$M38,'04-26'!$C:$C))</f>
        <v>23283</v>
      </c>
      <c r="R38" s="75"/>
      <c r="S38" s="113"/>
      <c r="T38" s="105"/>
      <c r="U38" s="80"/>
      <c r="V38" s="72" t="str">
        <f>IF(ISBLANK($H38), "", SUMIF('04-26'!$J:$J,$H38,'04-26'!$H:$H))</f>
        <v/>
      </c>
      <c r="W38" s="81" t="str">
        <f t="shared" si="0"/>
        <v/>
      </c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</row>
    <row r="39" spans="1:39" ht="19.5" customHeight="1" x14ac:dyDescent="0.6">
      <c r="A39" s="14"/>
      <c r="B39" s="17">
        <v>46132</v>
      </c>
      <c r="C39" s="18">
        <v>415</v>
      </c>
      <c r="D39" s="19" t="s">
        <v>45</v>
      </c>
      <c r="E39" s="23" t="s">
        <v>38</v>
      </c>
      <c r="F39" s="14"/>
      <c r="G39" s="24"/>
      <c r="H39" s="82"/>
      <c r="I39" s="83"/>
      <c r="J39" s="28"/>
      <c r="K39" s="14"/>
      <c r="L39" s="14"/>
      <c r="M39" s="104" t="s">
        <v>16</v>
      </c>
      <c r="N39" s="105"/>
      <c r="O39" s="74">
        <f>IF(ISBLANK($M39), "", SUMIF('04-26'!$E:$E,$M39,'04-26'!$C:$C))</f>
        <v>896</v>
      </c>
      <c r="R39" s="75"/>
      <c r="S39" s="113"/>
      <c r="T39" s="105"/>
      <c r="U39" s="80"/>
      <c r="V39" s="72" t="str">
        <f>IF(ISBLANK($H39), "", SUMIF('04-26'!$J:$J,$H39,'04-26'!$H:$H))</f>
        <v/>
      </c>
      <c r="W39" s="81" t="str">
        <f t="shared" si="0"/>
        <v/>
      </c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</row>
    <row r="40" spans="1:39" ht="19.5" customHeight="1" x14ac:dyDescent="0.6">
      <c r="A40" s="14"/>
      <c r="B40" s="17">
        <v>46133</v>
      </c>
      <c r="C40" s="18">
        <v>777</v>
      </c>
      <c r="D40" s="19" t="s">
        <v>35</v>
      </c>
      <c r="E40" s="23" t="s">
        <v>27</v>
      </c>
      <c r="F40" s="14"/>
      <c r="G40" s="24"/>
      <c r="H40" s="82"/>
      <c r="I40" s="83"/>
      <c r="J40" s="28"/>
      <c r="K40" s="14"/>
      <c r="L40" s="14"/>
      <c r="M40" s="104" t="s">
        <v>13</v>
      </c>
      <c r="N40" s="105"/>
      <c r="O40" s="74">
        <f>IF(ISBLANK($M40), "", SUMIF('04-26'!$E:$E,$M40,'04-26'!$C:$C))</f>
        <v>26000</v>
      </c>
      <c r="R40" s="75"/>
      <c r="S40" s="113"/>
      <c r="T40" s="105"/>
      <c r="U40" s="80"/>
      <c r="V40" s="72" t="str">
        <f>IF(ISBLANK($H40), "", SUMIF('04-26'!$J:$J,$H40,'04-26'!$H:$H))</f>
        <v/>
      </c>
      <c r="W40" s="81" t="str">
        <f t="shared" si="0"/>
        <v/>
      </c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</row>
    <row r="41" spans="1:39" ht="19.5" customHeight="1" x14ac:dyDescent="0.6">
      <c r="A41" s="14"/>
      <c r="B41" s="17">
        <v>46134</v>
      </c>
      <c r="C41" s="18">
        <v>315</v>
      </c>
      <c r="D41" s="19" t="s">
        <v>66</v>
      </c>
      <c r="E41" s="23" t="s">
        <v>38</v>
      </c>
      <c r="F41" s="14"/>
      <c r="G41" s="24"/>
      <c r="H41" s="82"/>
      <c r="I41" s="83"/>
      <c r="J41" s="28"/>
      <c r="K41" s="14"/>
      <c r="L41" s="14"/>
      <c r="M41" s="104" t="s">
        <v>21</v>
      </c>
      <c r="N41" s="105"/>
      <c r="O41" s="74">
        <f>IF(ISBLANK($M41), "", SUMIF('04-26'!$E:$E,$M41,'04-26'!$C:$C))</f>
        <v>150000</v>
      </c>
      <c r="R41" s="75"/>
      <c r="S41" s="113"/>
      <c r="T41" s="105"/>
      <c r="U41" s="80"/>
      <c r="V41" s="72" t="str">
        <f>IF(ISBLANK($H41), "", SUMIF('04-26'!$J:$J,$H41,'04-26'!$H:$H))</f>
        <v/>
      </c>
      <c r="W41" s="81" t="str">
        <f t="shared" si="0"/>
        <v/>
      </c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</row>
    <row r="42" spans="1:39" ht="19.5" customHeight="1" x14ac:dyDescent="0.6">
      <c r="A42" s="14"/>
      <c r="B42" s="17">
        <v>46134</v>
      </c>
      <c r="C42" s="18">
        <v>409</v>
      </c>
      <c r="D42" s="19" t="s">
        <v>100</v>
      </c>
      <c r="E42" s="28" t="s">
        <v>38</v>
      </c>
      <c r="F42" s="14"/>
      <c r="G42" s="24"/>
      <c r="H42" s="82"/>
      <c r="I42" s="83"/>
      <c r="J42" s="28"/>
      <c r="K42" s="14"/>
      <c r="L42" s="14"/>
      <c r="M42" s="104" t="s">
        <v>63</v>
      </c>
      <c r="N42" s="105"/>
      <c r="O42" s="74">
        <f>IF(ISBLANK($M42), "", SUMIF('04-26'!$E:$E,$M42,'04-26'!$C:$C))</f>
        <v>0</v>
      </c>
      <c r="P42" s="72"/>
      <c r="Q42" s="81"/>
      <c r="R42" s="75"/>
      <c r="S42" s="84"/>
      <c r="T42" s="84"/>
      <c r="U42" s="80"/>
      <c r="V42" s="72"/>
      <c r="W42" s="81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</row>
    <row r="43" spans="1:39" ht="19.5" customHeight="1" x14ac:dyDescent="0.6">
      <c r="A43" s="14"/>
      <c r="B43" s="17">
        <v>46136</v>
      </c>
      <c r="C43" s="18">
        <v>1773</v>
      </c>
      <c r="D43" s="19" t="s">
        <v>35</v>
      </c>
      <c r="E43" s="28" t="s">
        <v>27</v>
      </c>
      <c r="F43" s="14"/>
      <c r="G43" s="24"/>
      <c r="H43" s="82"/>
      <c r="I43" s="83"/>
      <c r="J43" s="28"/>
      <c r="K43" s="14"/>
      <c r="L43" s="14"/>
      <c r="M43" s="104" t="s">
        <v>64</v>
      </c>
      <c r="N43" s="105"/>
      <c r="O43" s="74">
        <f>IF(ISBLANK($M43), "", SUMIF('04-26'!$E:$E,$M43,'04-26'!$C:$C))</f>
        <v>0</v>
      </c>
      <c r="P43" s="72"/>
      <c r="Q43" s="81"/>
      <c r="R43" s="75"/>
      <c r="S43" s="84"/>
      <c r="T43" s="84"/>
      <c r="U43" s="80"/>
      <c r="V43" s="72"/>
      <c r="W43" s="81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</row>
    <row r="44" spans="1:39" ht="19.5" customHeight="1" x14ac:dyDescent="0.6">
      <c r="A44" s="14"/>
      <c r="B44" s="17">
        <v>46136</v>
      </c>
      <c r="C44" s="18">
        <v>96</v>
      </c>
      <c r="D44" s="19" t="s">
        <v>66</v>
      </c>
      <c r="E44" s="28" t="s">
        <v>38</v>
      </c>
      <c r="F44" s="14"/>
      <c r="G44" s="24"/>
      <c r="H44" s="82"/>
      <c r="I44" s="83"/>
      <c r="J44" s="28"/>
      <c r="K44" s="14"/>
      <c r="L44" s="14"/>
      <c r="M44" s="104"/>
      <c r="N44" s="105"/>
      <c r="O44" s="85"/>
      <c r="P44" s="72"/>
      <c r="Q44" s="81"/>
      <c r="R44" s="75"/>
      <c r="S44" s="113"/>
      <c r="T44" s="105"/>
      <c r="U44" s="80"/>
      <c r="V44" s="72" t="str">
        <f>IF(ISBLANK($H44), "", SUMIF('04-26'!$J:$J,$H44,'04-26'!$H:$H))</f>
        <v/>
      </c>
      <c r="W44" s="81" t="str">
        <f>IF(ISBLANK($H44), "", V44-U44)</f>
        <v/>
      </c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</row>
    <row r="45" spans="1:39" ht="19.5" customHeight="1" x14ac:dyDescent="0.35">
      <c r="A45" s="14"/>
      <c r="B45" s="17">
        <v>46138</v>
      </c>
      <c r="C45" s="18">
        <v>4700</v>
      </c>
      <c r="D45" s="19" t="s">
        <v>117</v>
      </c>
      <c r="E45" s="28" t="s">
        <v>62</v>
      </c>
      <c r="F45" s="14"/>
      <c r="G45" s="24"/>
      <c r="H45" s="82"/>
      <c r="I45" s="83"/>
      <c r="J45" s="28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</row>
    <row r="46" spans="1:39" ht="19.5" customHeight="1" x14ac:dyDescent="0.35">
      <c r="A46" s="14"/>
      <c r="B46" s="86">
        <v>46138</v>
      </c>
      <c r="C46" s="18">
        <v>515</v>
      </c>
      <c r="D46" s="19" t="s">
        <v>26</v>
      </c>
      <c r="E46" s="23" t="s">
        <v>27</v>
      </c>
      <c r="F46" s="14"/>
      <c r="G46" s="24"/>
      <c r="H46" s="82"/>
      <c r="I46" s="83"/>
      <c r="J46" s="28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</row>
    <row r="47" spans="1:39" ht="19.5" customHeight="1" x14ac:dyDescent="0.35">
      <c r="A47" s="14"/>
      <c r="B47" s="86">
        <v>46138</v>
      </c>
      <c r="C47" s="18">
        <v>780</v>
      </c>
      <c r="D47" s="19" t="s">
        <v>100</v>
      </c>
      <c r="E47" s="23" t="s">
        <v>38</v>
      </c>
      <c r="F47" s="14"/>
      <c r="G47" s="24"/>
      <c r="H47" s="82"/>
      <c r="I47" s="83"/>
      <c r="J47" s="28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</row>
    <row r="48" spans="1:39" ht="19.5" customHeight="1" x14ac:dyDescent="0.35">
      <c r="A48" s="14"/>
      <c r="B48" s="17">
        <v>46138</v>
      </c>
      <c r="C48" s="18">
        <v>56</v>
      </c>
      <c r="D48" s="19" t="s">
        <v>118</v>
      </c>
      <c r="E48" s="23" t="s">
        <v>25</v>
      </c>
      <c r="F48" s="14"/>
      <c r="G48" s="24"/>
      <c r="H48" s="82"/>
      <c r="I48" s="83"/>
      <c r="J48" s="28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</row>
    <row r="49" spans="1:39" ht="19.5" customHeight="1" x14ac:dyDescent="0.35">
      <c r="A49" s="14"/>
      <c r="B49" s="17">
        <v>46140</v>
      </c>
      <c r="C49" s="18">
        <v>3441</v>
      </c>
      <c r="D49" s="19" t="s">
        <v>87</v>
      </c>
      <c r="E49" s="28" t="s">
        <v>9</v>
      </c>
      <c r="F49" s="14"/>
      <c r="G49" s="24"/>
      <c r="H49" s="82"/>
      <c r="I49" s="83"/>
      <c r="J49" s="28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</row>
    <row r="50" spans="1:39" ht="19.5" customHeight="1" x14ac:dyDescent="0.35">
      <c r="A50" s="14"/>
      <c r="B50" s="17"/>
      <c r="C50" s="18"/>
      <c r="D50" s="19"/>
      <c r="E50" s="28"/>
      <c r="F50" s="14"/>
      <c r="G50" s="24"/>
      <c r="H50" s="82"/>
      <c r="I50" s="83"/>
      <c r="J50" s="28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</row>
    <row r="51" spans="1:39" ht="19.5" customHeight="1" x14ac:dyDescent="0.35">
      <c r="A51" s="14"/>
      <c r="B51" s="17"/>
      <c r="C51" s="18"/>
      <c r="D51" s="19"/>
      <c r="E51" s="28"/>
      <c r="F51" s="14"/>
      <c r="G51" s="24"/>
      <c r="H51" s="82"/>
      <c r="I51" s="83"/>
      <c r="J51" s="28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</row>
    <row r="52" spans="1:39" ht="19.5" customHeight="1" x14ac:dyDescent="0.35">
      <c r="A52" s="14"/>
      <c r="B52" s="17"/>
      <c r="C52" s="18"/>
      <c r="D52" s="19"/>
      <c r="E52" s="23"/>
      <c r="F52" s="14"/>
      <c r="G52" s="24"/>
      <c r="H52" s="82"/>
      <c r="I52" s="83"/>
      <c r="J52" s="28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</row>
    <row r="53" spans="1:39" ht="19.5" customHeight="1" x14ac:dyDescent="0.35">
      <c r="A53" s="14"/>
      <c r="B53" s="17"/>
      <c r="C53" s="18"/>
      <c r="D53" s="19"/>
      <c r="E53" s="23"/>
      <c r="F53" s="14"/>
      <c r="G53" s="24"/>
      <c r="H53" s="82"/>
      <c r="I53" s="83"/>
      <c r="J53" s="28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</row>
    <row r="54" spans="1:39" ht="19.5" customHeight="1" x14ac:dyDescent="0.35">
      <c r="A54" s="14"/>
      <c r="B54" s="17"/>
      <c r="C54" s="18"/>
      <c r="D54" s="19"/>
      <c r="E54" s="28"/>
      <c r="F54" s="14"/>
      <c r="G54" s="24"/>
      <c r="H54" s="82"/>
      <c r="I54" s="83"/>
      <c r="J54" s="28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</row>
    <row r="55" spans="1:39" ht="19.5" customHeight="1" x14ac:dyDescent="0.35">
      <c r="A55" s="14"/>
      <c r="B55" s="17"/>
      <c r="C55" s="18"/>
      <c r="D55" s="19"/>
      <c r="E55" s="28"/>
      <c r="F55" s="14"/>
      <c r="G55" s="24"/>
      <c r="H55" s="82"/>
      <c r="I55" s="83"/>
      <c r="J55" s="28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</row>
    <row r="56" spans="1:39" ht="19.5" customHeight="1" x14ac:dyDescent="0.35">
      <c r="A56" s="14"/>
      <c r="B56" s="17"/>
      <c r="C56" s="18"/>
      <c r="D56" s="19"/>
      <c r="E56" s="28"/>
      <c r="F56" s="14"/>
      <c r="G56" s="24"/>
      <c r="H56" s="82"/>
      <c r="I56" s="83"/>
      <c r="J56" s="28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</row>
    <row r="57" spans="1:39" ht="19.5" customHeight="1" x14ac:dyDescent="0.35">
      <c r="A57" s="14"/>
      <c r="B57" s="17"/>
      <c r="C57" s="18"/>
      <c r="D57" s="19"/>
      <c r="E57" s="28"/>
      <c r="F57" s="14"/>
      <c r="G57" s="24"/>
      <c r="H57" s="82"/>
      <c r="I57" s="83"/>
      <c r="J57" s="28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</row>
    <row r="58" spans="1:39" ht="19.5" customHeight="1" x14ac:dyDescent="0.35">
      <c r="A58" s="14"/>
      <c r="B58" s="17"/>
      <c r="C58" s="18"/>
      <c r="D58" s="19"/>
      <c r="E58" s="28"/>
      <c r="F58" s="14"/>
      <c r="G58" s="87"/>
      <c r="H58" s="82"/>
      <c r="I58" s="83"/>
      <c r="J58" s="28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</row>
    <row r="59" spans="1:39" ht="19.5" customHeight="1" x14ac:dyDescent="0.35">
      <c r="A59" s="14"/>
      <c r="B59" s="17"/>
      <c r="C59" s="18"/>
      <c r="D59" s="19"/>
      <c r="E59" s="28"/>
      <c r="F59" s="14"/>
      <c r="G59" s="87"/>
      <c r="H59" s="82"/>
      <c r="I59" s="83"/>
      <c r="J59" s="28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</row>
    <row r="60" spans="1:39" ht="19.5" customHeight="1" x14ac:dyDescent="0.35">
      <c r="A60" s="14"/>
      <c r="B60" s="17"/>
      <c r="C60" s="18"/>
      <c r="D60" s="19"/>
      <c r="E60" s="28"/>
      <c r="F60" s="14"/>
      <c r="G60" s="87"/>
      <c r="H60" s="82"/>
      <c r="I60" s="83"/>
      <c r="J60" s="28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</row>
    <row r="61" spans="1:39" ht="19.5" customHeight="1" x14ac:dyDescent="0.35">
      <c r="A61" s="14"/>
      <c r="B61" s="17"/>
      <c r="C61" s="18"/>
      <c r="D61" s="19"/>
      <c r="E61" s="28"/>
      <c r="F61" s="14"/>
      <c r="G61" s="87"/>
      <c r="H61" s="82"/>
      <c r="I61" s="83"/>
      <c r="J61" s="28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</row>
    <row r="62" spans="1:39" ht="19.5" customHeight="1" x14ac:dyDescent="0.35">
      <c r="A62" s="14"/>
      <c r="B62" s="17"/>
      <c r="C62" s="18"/>
      <c r="D62" s="19"/>
      <c r="E62" s="28"/>
      <c r="F62" s="14"/>
      <c r="G62" s="87"/>
      <c r="H62" s="82"/>
      <c r="I62" s="83"/>
      <c r="J62" s="28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</row>
    <row r="63" spans="1:39" ht="19.5" customHeight="1" x14ac:dyDescent="0.35">
      <c r="A63" s="14"/>
      <c r="B63" s="17"/>
      <c r="C63" s="18"/>
      <c r="D63" s="19"/>
      <c r="E63" s="28"/>
      <c r="F63" s="14"/>
      <c r="G63" s="87"/>
      <c r="H63" s="82"/>
      <c r="I63" s="83"/>
      <c r="J63" s="28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</row>
    <row r="64" spans="1:39" ht="19.5" customHeight="1" x14ac:dyDescent="0.35">
      <c r="A64" s="14"/>
      <c r="B64" s="17"/>
      <c r="C64" s="18"/>
      <c r="D64" s="19"/>
      <c r="E64" s="28"/>
      <c r="F64" s="14"/>
      <c r="G64" s="87"/>
      <c r="H64" s="82"/>
      <c r="I64" s="83"/>
      <c r="J64" s="28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</row>
    <row r="65" spans="1:39" ht="19.5" customHeight="1" x14ac:dyDescent="0.35">
      <c r="A65" s="14"/>
      <c r="B65" s="17"/>
      <c r="C65" s="18"/>
      <c r="D65" s="19"/>
      <c r="E65" s="28"/>
      <c r="F65" s="14"/>
      <c r="G65" s="87"/>
      <c r="H65" s="82"/>
      <c r="I65" s="83"/>
      <c r="J65" s="28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</row>
    <row r="66" spans="1:39" ht="19.5" customHeight="1" x14ac:dyDescent="0.35">
      <c r="A66" s="14"/>
      <c r="B66" s="17"/>
      <c r="C66" s="18"/>
      <c r="D66" s="19"/>
      <c r="E66" s="28"/>
      <c r="F66" s="14"/>
      <c r="G66" s="87"/>
      <c r="H66" s="82"/>
      <c r="I66" s="83"/>
      <c r="J66" s="28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</row>
    <row r="67" spans="1:39" ht="19.5" customHeight="1" x14ac:dyDescent="0.35">
      <c r="A67" s="14"/>
      <c r="B67" s="17"/>
      <c r="C67" s="18"/>
      <c r="D67" s="19"/>
      <c r="E67" s="28"/>
      <c r="F67" s="14"/>
      <c r="G67" s="87"/>
      <c r="H67" s="82"/>
      <c r="I67" s="83"/>
      <c r="J67" s="28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</row>
    <row r="68" spans="1:39" ht="19.5" customHeight="1" x14ac:dyDescent="0.35">
      <c r="A68" s="14"/>
      <c r="B68" s="17"/>
      <c r="C68" s="18"/>
      <c r="D68" s="19"/>
      <c r="E68" s="28"/>
      <c r="F68" s="14"/>
      <c r="G68" s="87"/>
      <c r="H68" s="82"/>
      <c r="I68" s="83"/>
      <c r="J68" s="28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</row>
    <row r="69" spans="1:39" ht="19.5" customHeight="1" x14ac:dyDescent="0.35">
      <c r="A69" s="14"/>
      <c r="B69" s="17"/>
      <c r="C69" s="18"/>
      <c r="D69" s="19"/>
      <c r="E69" s="28"/>
      <c r="F69" s="14"/>
      <c r="G69" s="87"/>
      <c r="H69" s="82"/>
      <c r="I69" s="83"/>
      <c r="J69" s="28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</row>
    <row r="70" spans="1:39" ht="19.5" customHeight="1" x14ac:dyDescent="0.35">
      <c r="A70" s="14"/>
      <c r="B70" s="17"/>
      <c r="C70" s="18"/>
      <c r="D70" s="19"/>
      <c r="E70" s="28"/>
      <c r="F70" s="14"/>
      <c r="G70" s="87"/>
      <c r="H70" s="82"/>
      <c r="I70" s="83"/>
      <c r="J70" s="28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</row>
    <row r="71" spans="1:39" ht="19.5" customHeight="1" x14ac:dyDescent="0.35">
      <c r="A71" s="14"/>
      <c r="B71" s="17"/>
      <c r="C71" s="18"/>
      <c r="D71" s="19"/>
      <c r="E71" s="28"/>
      <c r="F71" s="14"/>
      <c r="G71" s="87"/>
      <c r="H71" s="82"/>
      <c r="I71" s="83"/>
      <c r="J71" s="28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</row>
    <row r="72" spans="1:39" ht="19.5" customHeight="1" x14ac:dyDescent="0.35">
      <c r="A72" s="14"/>
      <c r="B72" s="17"/>
      <c r="C72" s="18"/>
      <c r="D72" s="19"/>
      <c r="E72" s="28"/>
      <c r="F72" s="14"/>
      <c r="G72" s="87"/>
      <c r="H72" s="82"/>
      <c r="I72" s="83"/>
      <c r="J72" s="28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</row>
    <row r="73" spans="1:39" ht="19.5" customHeight="1" x14ac:dyDescent="0.35">
      <c r="A73" s="14"/>
      <c r="B73" s="17"/>
      <c r="C73" s="18"/>
      <c r="D73" s="19"/>
      <c r="E73" s="28"/>
      <c r="F73" s="14"/>
      <c r="G73" s="87"/>
      <c r="H73" s="82"/>
      <c r="I73" s="83"/>
      <c r="J73" s="28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</row>
    <row r="74" spans="1:39" ht="19.5" customHeight="1" x14ac:dyDescent="0.35">
      <c r="A74" s="14"/>
      <c r="B74" s="17"/>
      <c r="C74" s="18"/>
      <c r="D74" s="19"/>
      <c r="E74" s="28"/>
      <c r="F74" s="14"/>
      <c r="G74" s="87"/>
      <c r="H74" s="82"/>
      <c r="I74" s="83"/>
      <c r="J74" s="28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</row>
    <row r="75" spans="1:39" ht="19.5" customHeight="1" x14ac:dyDescent="0.35">
      <c r="A75" s="14"/>
      <c r="B75" s="17"/>
      <c r="C75" s="18"/>
      <c r="D75" s="19"/>
      <c r="E75" s="28"/>
      <c r="F75" s="14"/>
      <c r="G75" s="87"/>
      <c r="H75" s="82"/>
      <c r="I75" s="83"/>
      <c r="J75" s="28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</row>
    <row r="76" spans="1:39" ht="19.5" customHeight="1" x14ac:dyDescent="0.35">
      <c r="A76" s="14"/>
      <c r="B76" s="17"/>
      <c r="C76" s="18"/>
      <c r="D76" s="19"/>
      <c r="E76" s="28"/>
      <c r="F76" s="14"/>
      <c r="G76" s="87"/>
      <c r="H76" s="82"/>
      <c r="I76" s="83"/>
      <c r="J76" s="28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</row>
    <row r="77" spans="1:39" ht="19.5" customHeight="1" x14ac:dyDescent="0.35">
      <c r="A77" s="14"/>
      <c r="B77" s="17"/>
      <c r="C77" s="18"/>
      <c r="D77" s="19"/>
      <c r="E77" s="28"/>
      <c r="F77" s="14"/>
      <c r="G77" s="87"/>
      <c r="H77" s="82"/>
      <c r="I77" s="83"/>
      <c r="J77" s="28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</row>
    <row r="78" spans="1:39" ht="19.5" customHeight="1" x14ac:dyDescent="0.35">
      <c r="A78" s="14"/>
      <c r="B78" s="17"/>
      <c r="C78" s="90"/>
      <c r="D78" s="88"/>
      <c r="E78" s="28"/>
      <c r="F78" s="14"/>
      <c r="G78" s="87"/>
      <c r="H78" s="82"/>
      <c r="I78" s="83"/>
      <c r="J78" s="28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</row>
    <row r="79" spans="1:39" ht="19.5" customHeight="1" x14ac:dyDescent="0.35">
      <c r="A79" s="14"/>
      <c r="B79" s="17"/>
      <c r="C79" s="90"/>
      <c r="D79" s="88"/>
      <c r="E79" s="28"/>
      <c r="F79" s="14"/>
      <c r="G79" s="87"/>
      <c r="H79" s="82"/>
      <c r="I79" s="83"/>
      <c r="J79" s="28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</row>
    <row r="80" spans="1:39" ht="19.5" customHeight="1" x14ac:dyDescent="0.35">
      <c r="A80" s="14"/>
      <c r="B80" s="17"/>
      <c r="C80" s="90"/>
      <c r="D80" s="88"/>
      <c r="E80" s="28"/>
      <c r="F80" s="14"/>
      <c r="G80" s="87"/>
      <c r="H80" s="82"/>
      <c r="I80" s="83"/>
      <c r="J80" s="28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</row>
    <row r="81" spans="1:39" ht="19.5" customHeight="1" x14ac:dyDescent="0.35">
      <c r="A81" s="14"/>
      <c r="B81" s="17"/>
      <c r="C81" s="90"/>
      <c r="D81" s="88"/>
      <c r="E81" s="28"/>
      <c r="F81" s="14"/>
      <c r="G81" s="87"/>
      <c r="H81" s="82"/>
      <c r="I81" s="83"/>
      <c r="J81" s="28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</row>
  </sheetData>
  <mergeCells count="46">
    <mergeCell ref="S44:T44"/>
    <mergeCell ref="S33:T33"/>
    <mergeCell ref="S34:T34"/>
    <mergeCell ref="S35:T35"/>
    <mergeCell ref="S36:T36"/>
    <mergeCell ref="S37:T37"/>
    <mergeCell ref="S38:T38"/>
    <mergeCell ref="S39:T39"/>
    <mergeCell ref="M43:N43"/>
    <mergeCell ref="M44:N44"/>
    <mergeCell ref="M32:N32"/>
    <mergeCell ref="M33:N33"/>
    <mergeCell ref="M34:N34"/>
    <mergeCell ref="M35:N35"/>
    <mergeCell ref="M36:N36"/>
    <mergeCell ref="M37:N37"/>
    <mergeCell ref="M38:N38"/>
    <mergeCell ref="S32:T32"/>
    <mergeCell ref="M39:N39"/>
    <mergeCell ref="M40:N40"/>
    <mergeCell ref="M41:N41"/>
    <mergeCell ref="M42:N42"/>
    <mergeCell ref="S40:T40"/>
    <mergeCell ref="S41:T41"/>
    <mergeCell ref="M29:N29"/>
    <mergeCell ref="S29:T29"/>
    <mergeCell ref="M30:N30"/>
    <mergeCell ref="S30:T30"/>
    <mergeCell ref="M31:N31"/>
    <mergeCell ref="S31:T31"/>
    <mergeCell ref="M23:N23"/>
    <mergeCell ref="U23:W23"/>
    <mergeCell ref="M24:N24"/>
    <mergeCell ref="M27:N27"/>
    <mergeCell ref="M28:N28"/>
    <mergeCell ref="T18:V18"/>
    <mergeCell ref="T19:V19"/>
    <mergeCell ref="S27:T27"/>
    <mergeCell ref="S28:T28"/>
    <mergeCell ref="S20:W20"/>
    <mergeCell ref="U21:W21"/>
    <mergeCell ref="B1:J1"/>
    <mergeCell ref="M3:P4"/>
    <mergeCell ref="U3:V3"/>
    <mergeCell ref="T16:V16"/>
    <mergeCell ref="T17:V17"/>
  </mergeCells>
  <conditionalFormatting sqref="M27:N44 S27:S44">
    <cfRule type="notContainsBlanks" dxfId="4" priority="1">
      <formula>LEN(TRIM(M27))&gt;0</formula>
    </cfRule>
  </conditionalFormatting>
  <conditionalFormatting sqref="O44">
    <cfRule type="expression" dxfId="3" priority="2">
      <formula>NOT(ISBLANK(M44))</formula>
    </cfRule>
  </conditionalFormatting>
  <conditionalFormatting sqref="U34:U44">
    <cfRule type="expression" dxfId="2" priority="3">
      <formula>NOT(ISBLANK(S34))</formula>
    </cfRule>
  </conditionalFormatting>
  <conditionalFormatting sqref="W34:W44 Q42:Q44">
    <cfRule type="cellIs" dxfId="1" priority="4" operator="lessThan">
      <formula>0</formula>
    </cfRule>
    <cfRule type="cellIs" dxfId="0" priority="5" operator="equal">
      <formula>0</formula>
    </cfRule>
  </conditionalFormatting>
  <dataValidations count="2">
    <dataValidation type="list" allowBlank="1" sqref="J5:J81" xr:uid="{00000000-0002-0000-0300-000001000000}">
      <formula1>$S$27:$T$33</formula1>
    </dataValidation>
    <dataValidation type="list" allowBlank="1" sqref="E5:E9 E13 E17:E18 E22:E28 E32:E81" xr:uid="{00000000-0002-0000-0300-000002000000}">
      <formula1>$M$28:$N$43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300-000000000000}">
          <x14:formula1>
            <xm:f>'11-25'!#REF!</xm:f>
          </x14:formula1>
          <xm:sqref>E14:E16 E19:E21 E29:E31</xm:sqref>
        </x14:dataValidation>
        <x14:dataValidation type="list" allowBlank="1" xr:uid="{00000000-0002-0000-0300-000003000000}">
          <x14:formula1>
            <xm:f>'07-25'!#REF!</xm:f>
          </x14:formula1>
          <xm:sqref>E10:E12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244"/>
  <sheetViews>
    <sheetView workbookViewId="0"/>
  </sheetViews>
  <sheetFormatPr defaultColWidth="12.59765625" defaultRowHeight="15.75" customHeight="1" x14ac:dyDescent="0.35"/>
  <cols>
    <col min="4" max="4" width="16.59765625" customWidth="1"/>
  </cols>
  <sheetData>
    <row r="1" spans="1:4" ht="15.75" customHeight="1" x14ac:dyDescent="0.35">
      <c r="A1" s="15"/>
      <c r="B1" s="15"/>
      <c r="C1" s="15"/>
      <c r="D1" s="15"/>
    </row>
    <row r="2" spans="1:4" ht="15.75" customHeight="1" x14ac:dyDescent="0.35">
      <c r="A2" s="17"/>
      <c r="B2" s="18"/>
      <c r="C2" s="19"/>
      <c r="D2" s="20"/>
    </row>
    <row r="3" spans="1:4" ht="15.75" customHeight="1" x14ac:dyDescent="0.35">
      <c r="A3" s="17"/>
      <c r="B3" s="18"/>
      <c r="C3" s="19"/>
      <c r="D3" s="23"/>
    </row>
    <row r="4" spans="1:4" ht="15.75" customHeight="1" x14ac:dyDescent="0.35">
      <c r="A4" s="17"/>
      <c r="B4" s="18"/>
      <c r="C4" s="27"/>
      <c r="D4" s="23"/>
    </row>
    <row r="5" spans="1:4" ht="15.75" customHeight="1" x14ac:dyDescent="0.35">
      <c r="A5" s="17"/>
      <c r="B5" s="18"/>
      <c r="C5" s="19"/>
      <c r="D5" s="23"/>
    </row>
    <row r="6" spans="1:4" ht="15.75" customHeight="1" x14ac:dyDescent="0.35">
      <c r="A6" s="17"/>
      <c r="B6" s="18"/>
      <c r="C6" s="19"/>
      <c r="D6" s="20"/>
    </row>
    <row r="7" spans="1:4" ht="15.75" customHeight="1" x14ac:dyDescent="0.35">
      <c r="A7" s="17"/>
      <c r="B7" s="18"/>
      <c r="C7" s="19"/>
      <c r="D7" s="20"/>
    </row>
    <row r="8" spans="1:4" ht="15.75" customHeight="1" x14ac:dyDescent="0.35">
      <c r="A8" s="17"/>
      <c r="B8" s="18"/>
      <c r="C8" s="19"/>
      <c r="D8" s="20"/>
    </row>
    <row r="9" spans="1:4" ht="15.75" customHeight="1" x14ac:dyDescent="0.35">
      <c r="A9" s="17"/>
      <c r="B9" s="18"/>
      <c r="C9" s="19"/>
      <c r="D9" s="20"/>
    </row>
    <row r="10" spans="1:4" ht="15.75" customHeight="1" x14ac:dyDescent="0.35">
      <c r="A10" s="17"/>
      <c r="B10" s="18"/>
      <c r="C10" s="19"/>
      <c r="D10" s="20"/>
    </row>
    <row r="11" spans="1:4" ht="15.75" customHeight="1" x14ac:dyDescent="0.35">
      <c r="A11" s="17"/>
      <c r="B11" s="18"/>
      <c r="C11" s="19"/>
      <c r="D11" s="20"/>
    </row>
    <row r="12" spans="1:4" ht="15.75" customHeight="1" x14ac:dyDescent="0.35">
      <c r="A12" s="17"/>
      <c r="B12" s="18"/>
      <c r="C12" s="19"/>
      <c r="D12" s="20"/>
    </row>
    <row r="13" spans="1:4" ht="15.75" customHeight="1" x14ac:dyDescent="0.35">
      <c r="A13" s="17"/>
      <c r="B13" s="18"/>
      <c r="C13" s="19"/>
      <c r="D13" s="20"/>
    </row>
    <row r="14" spans="1:4" ht="15.75" customHeight="1" x14ac:dyDescent="0.35">
      <c r="A14" s="17"/>
      <c r="B14" s="18"/>
      <c r="C14" s="19"/>
      <c r="D14" s="20"/>
    </row>
    <row r="15" spans="1:4" ht="15.75" customHeight="1" x14ac:dyDescent="0.35">
      <c r="A15" s="17"/>
      <c r="B15" s="18"/>
      <c r="C15" s="19"/>
      <c r="D15" s="20"/>
    </row>
    <row r="16" spans="1:4" ht="15.75" customHeight="1" x14ac:dyDescent="0.35">
      <c r="A16" s="17"/>
      <c r="B16" s="18"/>
      <c r="C16" s="19"/>
      <c r="D16" s="23"/>
    </row>
    <row r="17" spans="1:4" ht="15.75" customHeight="1" x14ac:dyDescent="0.35">
      <c r="A17" s="17"/>
      <c r="B17" s="18"/>
      <c r="C17" s="19"/>
      <c r="D17" s="23"/>
    </row>
    <row r="18" spans="1:4" ht="15.75" customHeight="1" x14ac:dyDescent="0.35">
      <c r="A18" s="17"/>
      <c r="B18" s="18"/>
      <c r="C18" s="19"/>
      <c r="D18" s="23"/>
    </row>
    <row r="19" spans="1:4" ht="15.75" customHeight="1" x14ac:dyDescent="0.35">
      <c r="A19" s="17"/>
      <c r="B19" s="18"/>
      <c r="C19" s="19"/>
      <c r="D19" s="23"/>
    </row>
    <row r="20" spans="1:4" ht="15.75" customHeight="1" x14ac:dyDescent="0.35">
      <c r="A20" s="17"/>
      <c r="B20" s="18"/>
      <c r="C20" s="19"/>
      <c r="D20" s="23"/>
    </row>
    <row r="21" spans="1:4" ht="15.75" customHeight="1" x14ac:dyDescent="0.35">
      <c r="A21" s="17"/>
      <c r="B21" s="18"/>
      <c r="C21" s="19"/>
      <c r="D21" s="23"/>
    </row>
    <row r="22" spans="1:4" ht="15.75" customHeight="1" x14ac:dyDescent="0.35">
      <c r="A22" s="17"/>
      <c r="B22" s="18"/>
      <c r="C22" s="19"/>
      <c r="D22" s="23"/>
    </row>
    <row r="23" spans="1:4" ht="15.75" customHeight="1" x14ac:dyDescent="0.35">
      <c r="A23" s="17"/>
      <c r="B23" s="18"/>
      <c r="C23" s="19"/>
      <c r="D23" s="23"/>
    </row>
    <row r="24" spans="1:4" ht="15.75" customHeight="1" x14ac:dyDescent="0.35">
      <c r="A24" s="17"/>
      <c r="B24" s="18"/>
      <c r="C24" s="19"/>
      <c r="D24" s="23"/>
    </row>
    <row r="25" spans="1:4" ht="15.75" customHeight="1" x14ac:dyDescent="0.35">
      <c r="A25" s="17"/>
      <c r="B25" s="18"/>
      <c r="C25" s="19"/>
      <c r="D25" s="23"/>
    </row>
    <row r="26" spans="1:4" ht="15.75" customHeight="1" x14ac:dyDescent="0.35">
      <c r="A26" s="17"/>
      <c r="B26" s="18"/>
      <c r="C26" s="19"/>
      <c r="D26" s="23"/>
    </row>
    <row r="27" spans="1:4" ht="15.75" customHeight="1" x14ac:dyDescent="0.35">
      <c r="A27" s="17"/>
      <c r="B27" s="18"/>
      <c r="C27" s="19"/>
      <c r="D27" s="23"/>
    </row>
    <row r="28" spans="1:4" ht="15.75" customHeight="1" x14ac:dyDescent="0.35">
      <c r="A28" s="17"/>
      <c r="B28" s="18"/>
      <c r="C28" s="19"/>
      <c r="D28" s="23"/>
    </row>
    <row r="29" spans="1:4" ht="15.75" customHeight="1" x14ac:dyDescent="0.35">
      <c r="A29" s="17"/>
      <c r="B29" s="18"/>
      <c r="C29" s="19"/>
      <c r="D29" s="23"/>
    </row>
    <row r="30" spans="1:4" ht="15.75" customHeight="1" x14ac:dyDescent="0.35">
      <c r="A30" s="17"/>
      <c r="B30" s="18"/>
      <c r="C30" s="19"/>
      <c r="D30" s="23"/>
    </row>
    <row r="31" spans="1:4" ht="15.75" customHeight="1" x14ac:dyDescent="0.35">
      <c r="A31" s="17"/>
      <c r="B31" s="18"/>
      <c r="C31" s="19"/>
      <c r="D31" s="23"/>
    </row>
    <row r="32" spans="1:4" ht="15.75" customHeight="1" x14ac:dyDescent="0.35">
      <c r="A32" s="17"/>
      <c r="B32" s="18"/>
      <c r="C32" s="19"/>
      <c r="D32" s="23"/>
    </row>
    <row r="33" spans="1:4" x14ac:dyDescent="0.35">
      <c r="A33" s="17"/>
      <c r="B33" s="18"/>
      <c r="C33" s="19"/>
      <c r="D33" s="23"/>
    </row>
    <row r="34" spans="1:4" x14ac:dyDescent="0.35">
      <c r="A34" s="17"/>
      <c r="B34" s="18"/>
      <c r="C34" s="19"/>
      <c r="D34" s="23"/>
    </row>
    <row r="35" spans="1:4" x14ac:dyDescent="0.35">
      <c r="A35" s="17"/>
      <c r="B35" s="18"/>
      <c r="C35" s="19"/>
      <c r="D35" s="23"/>
    </row>
    <row r="36" spans="1:4" x14ac:dyDescent="0.35">
      <c r="A36" s="17"/>
      <c r="B36" s="18"/>
      <c r="C36" s="19"/>
      <c r="D36" s="23"/>
    </row>
    <row r="37" spans="1:4" x14ac:dyDescent="0.35">
      <c r="A37" s="17"/>
      <c r="B37" s="18"/>
      <c r="C37" s="19"/>
      <c r="D37" s="28"/>
    </row>
    <row r="38" spans="1:4" x14ac:dyDescent="0.35">
      <c r="A38" s="17"/>
      <c r="B38" s="18"/>
      <c r="C38" s="19"/>
      <c r="D38" s="28"/>
    </row>
    <row r="39" spans="1:4" x14ac:dyDescent="0.35">
      <c r="A39" s="17"/>
      <c r="B39" s="18"/>
      <c r="C39" s="19"/>
      <c r="D39" s="28"/>
    </row>
    <row r="40" spans="1:4" x14ac:dyDescent="0.35">
      <c r="A40" s="17"/>
      <c r="B40" s="18"/>
      <c r="C40" s="19"/>
      <c r="D40" s="28"/>
    </row>
    <row r="41" spans="1:4" x14ac:dyDescent="0.35">
      <c r="A41" s="17"/>
      <c r="B41" s="18"/>
      <c r="C41" s="19"/>
      <c r="D41" s="28"/>
    </row>
    <row r="42" spans="1:4" x14ac:dyDescent="0.35">
      <c r="A42" s="17"/>
      <c r="B42" s="18"/>
      <c r="C42" s="19"/>
      <c r="D42" s="28"/>
    </row>
    <row r="43" spans="1:4" x14ac:dyDescent="0.35">
      <c r="A43" s="17"/>
      <c r="B43" s="18"/>
      <c r="C43" s="19"/>
      <c r="D43" s="23"/>
    </row>
    <row r="44" spans="1:4" x14ac:dyDescent="0.35">
      <c r="A44" s="17"/>
      <c r="B44" s="18"/>
      <c r="C44" s="19"/>
      <c r="D44" s="28"/>
    </row>
    <row r="45" spans="1:4" x14ac:dyDescent="0.35">
      <c r="A45" s="17"/>
      <c r="B45" s="18"/>
      <c r="C45" s="19"/>
      <c r="D45" s="28"/>
    </row>
    <row r="46" spans="1:4" x14ac:dyDescent="0.35">
      <c r="A46" s="17"/>
      <c r="B46" s="18"/>
      <c r="C46" s="19"/>
      <c r="D46" s="28"/>
    </row>
    <row r="47" spans="1:4" x14ac:dyDescent="0.35">
      <c r="A47" s="17"/>
      <c r="B47" s="18"/>
      <c r="C47" s="19"/>
      <c r="D47" s="20"/>
    </row>
    <row r="48" spans="1:4" x14ac:dyDescent="0.35">
      <c r="A48" s="17"/>
      <c r="B48" s="18"/>
      <c r="C48" s="19"/>
      <c r="D48" s="23"/>
    </row>
    <row r="49" spans="1:4" x14ac:dyDescent="0.35">
      <c r="A49" s="17"/>
      <c r="B49" s="18"/>
      <c r="C49" s="27"/>
      <c r="D49" s="23"/>
    </row>
    <row r="50" spans="1:4" x14ac:dyDescent="0.35">
      <c r="A50" s="17"/>
      <c r="B50" s="18"/>
      <c r="C50" s="19"/>
      <c r="D50" s="23"/>
    </row>
    <row r="51" spans="1:4" x14ac:dyDescent="0.35">
      <c r="A51" s="17"/>
      <c r="B51" s="18"/>
      <c r="C51" s="19"/>
      <c r="D51" s="20"/>
    </row>
    <row r="52" spans="1:4" x14ac:dyDescent="0.35">
      <c r="A52" s="17"/>
      <c r="B52" s="18"/>
      <c r="C52" s="19"/>
      <c r="D52" s="20"/>
    </row>
    <row r="53" spans="1:4" x14ac:dyDescent="0.35">
      <c r="A53" s="17"/>
      <c r="B53" s="18"/>
      <c r="C53" s="19"/>
      <c r="D53" s="20"/>
    </row>
    <row r="54" spans="1:4" x14ac:dyDescent="0.35">
      <c r="A54" s="17"/>
      <c r="B54" s="18"/>
      <c r="C54" s="19"/>
      <c r="D54" s="20"/>
    </row>
    <row r="55" spans="1:4" x14ac:dyDescent="0.35">
      <c r="A55" s="17"/>
      <c r="B55" s="18"/>
      <c r="C55" s="19"/>
      <c r="D55" s="20"/>
    </row>
    <row r="56" spans="1:4" x14ac:dyDescent="0.35">
      <c r="A56" s="17"/>
      <c r="B56" s="18"/>
      <c r="C56" s="19"/>
      <c r="D56" s="20"/>
    </row>
    <row r="57" spans="1:4" x14ac:dyDescent="0.35">
      <c r="A57" s="17"/>
      <c r="B57" s="18"/>
      <c r="C57" s="19"/>
      <c r="D57" s="20"/>
    </row>
    <row r="58" spans="1:4" x14ac:dyDescent="0.35">
      <c r="A58" s="17"/>
      <c r="B58" s="18"/>
      <c r="C58" s="19"/>
      <c r="D58" s="20"/>
    </row>
    <row r="59" spans="1:4" x14ac:dyDescent="0.35">
      <c r="A59" s="17"/>
      <c r="B59" s="18"/>
      <c r="C59" s="19"/>
      <c r="D59" s="20"/>
    </row>
    <row r="60" spans="1:4" x14ac:dyDescent="0.35">
      <c r="A60" s="17"/>
      <c r="B60" s="18"/>
      <c r="C60" s="19"/>
      <c r="D60" s="20"/>
    </row>
    <row r="61" spans="1:4" x14ac:dyDescent="0.35">
      <c r="A61" s="17"/>
      <c r="B61" s="18"/>
      <c r="C61" s="19"/>
      <c r="D61" s="23"/>
    </row>
    <row r="62" spans="1:4" x14ac:dyDescent="0.35">
      <c r="A62" s="17"/>
      <c r="B62" s="18"/>
      <c r="C62" s="19"/>
      <c r="D62" s="23"/>
    </row>
    <row r="63" spans="1:4" x14ac:dyDescent="0.35">
      <c r="A63" s="17"/>
      <c r="B63" s="18"/>
      <c r="C63" s="19"/>
      <c r="D63" s="23"/>
    </row>
    <row r="64" spans="1:4" x14ac:dyDescent="0.35">
      <c r="A64" s="17"/>
      <c r="B64" s="18"/>
      <c r="C64" s="19"/>
      <c r="D64" s="23"/>
    </row>
    <row r="65" spans="1:4" x14ac:dyDescent="0.35">
      <c r="A65" s="17"/>
      <c r="B65" s="18"/>
      <c r="C65" s="19"/>
      <c r="D65" s="23"/>
    </row>
    <row r="66" spans="1:4" x14ac:dyDescent="0.35">
      <c r="A66" s="17"/>
      <c r="B66" s="18"/>
      <c r="C66" s="19"/>
      <c r="D66" s="23"/>
    </row>
    <row r="67" spans="1:4" x14ac:dyDescent="0.35">
      <c r="A67" s="17"/>
      <c r="B67" s="18"/>
      <c r="C67" s="19"/>
      <c r="D67" s="23"/>
    </row>
    <row r="68" spans="1:4" x14ac:dyDescent="0.35">
      <c r="A68" s="17"/>
      <c r="B68" s="18"/>
      <c r="C68" s="19"/>
      <c r="D68" s="23"/>
    </row>
    <row r="69" spans="1:4" x14ac:dyDescent="0.35">
      <c r="A69" s="17"/>
      <c r="B69" s="18"/>
      <c r="C69" s="19"/>
      <c r="D69" s="23"/>
    </row>
    <row r="70" spans="1:4" x14ac:dyDescent="0.35">
      <c r="A70" s="17"/>
      <c r="B70" s="18"/>
      <c r="C70" s="19"/>
      <c r="D70" s="23"/>
    </row>
    <row r="71" spans="1:4" x14ac:dyDescent="0.35">
      <c r="A71" s="17"/>
      <c r="B71" s="18"/>
      <c r="C71" s="19"/>
      <c r="D71" s="23"/>
    </row>
    <row r="72" spans="1:4" x14ac:dyDescent="0.35">
      <c r="A72" s="17"/>
      <c r="B72" s="18"/>
      <c r="C72" s="19"/>
      <c r="D72" s="23"/>
    </row>
    <row r="73" spans="1:4" x14ac:dyDescent="0.35">
      <c r="A73" s="17"/>
      <c r="B73" s="18"/>
      <c r="C73" s="19"/>
      <c r="D73" s="23"/>
    </row>
    <row r="74" spans="1:4" x14ac:dyDescent="0.35">
      <c r="A74" s="17"/>
      <c r="B74" s="18"/>
      <c r="C74" s="19"/>
      <c r="D74" s="23"/>
    </row>
    <row r="75" spans="1:4" x14ac:dyDescent="0.35">
      <c r="A75" s="17"/>
      <c r="B75" s="18"/>
      <c r="C75" s="19"/>
      <c r="D75" s="23"/>
    </row>
    <row r="76" spans="1:4" x14ac:dyDescent="0.35">
      <c r="A76" s="17"/>
      <c r="B76" s="18"/>
      <c r="C76" s="19"/>
      <c r="D76" s="23"/>
    </row>
    <row r="77" spans="1:4" x14ac:dyDescent="0.35">
      <c r="A77" s="17"/>
      <c r="B77" s="18"/>
      <c r="C77" s="19"/>
      <c r="D77" s="23"/>
    </row>
    <row r="78" spans="1:4" x14ac:dyDescent="0.35">
      <c r="A78" s="17"/>
      <c r="B78" s="18"/>
      <c r="C78" s="19"/>
      <c r="D78" s="23"/>
    </row>
    <row r="79" spans="1:4" x14ac:dyDescent="0.35">
      <c r="A79" s="17"/>
      <c r="B79" s="18"/>
      <c r="C79" s="19"/>
      <c r="D79" s="23"/>
    </row>
    <row r="80" spans="1:4" x14ac:dyDescent="0.35">
      <c r="A80" s="17"/>
      <c r="B80" s="18"/>
      <c r="C80" s="19"/>
      <c r="D80" s="23"/>
    </row>
    <row r="81" spans="1:4" x14ac:dyDescent="0.35">
      <c r="A81" s="17"/>
      <c r="B81" s="18"/>
      <c r="C81" s="19"/>
      <c r="D81" s="28"/>
    </row>
    <row r="82" spans="1:4" x14ac:dyDescent="0.35">
      <c r="A82" s="17"/>
      <c r="B82" s="18"/>
      <c r="C82" s="19"/>
      <c r="D82" s="28"/>
    </row>
    <row r="83" spans="1:4" x14ac:dyDescent="0.35">
      <c r="A83" s="17"/>
      <c r="B83" s="18"/>
      <c r="C83" s="19"/>
      <c r="D83" s="28"/>
    </row>
    <row r="84" spans="1:4" x14ac:dyDescent="0.35">
      <c r="A84" s="17"/>
      <c r="B84" s="18"/>
      <c r="C84" s="19"/>
      <c r="D84" s="28"/>
    </row>
    <row r="85" spans="1:4" x14ac:dyDescent="0.35">
      <c r="A85" s="17"/>
      <c r="B85" s="18"/>
      <c r="C85" s="19"/>
      <c r="D85" s="28"/>
    </row>
    <row r="86" spans="1:4" x14ac:dyDescent="0.35">
      <c r="A86" s="17"/>
      <c r="B86" s="18"/>
      <c r="C86" s="19"/>
      <c r="D86" s="28"/>
    </row>
    <row r="87" spans="1:4" x14ac:dyDescent="0.35">
      <c r="A87" s="17"/>
      <c r="B87" s="18"/>
      <c r="C87" s="19"/>
      <c r="D87" s="28"/>
    </row>
    <row r="88" spans="1:4" x14ac:dyDescent="0.35">
      <c r="A88" s="17"/>
      <c r="B88" s="18"/>
      <c r="C88" s="19"/>
      <c r="D88" s="20"/>
    </row>
    <row r="89" spans="1:4" x14ac:dyDescent="0.35">
      <c r="A89" s="17"/>
      <c r="B89" s="18"/>
      <c r="C89" s="19"/>
      <c r="D89" s="23"/>
    </row>
    <row r="90" spans="1:4" x14ac:dyDescent="0.35">
      <c r="A90" s="17"/>
      <c r="B90" s="18"/>
      <c r="C90" s="27"/>
      <c r="D90" s="23"/>
    </row>
    <row r="91" spans="1:4" x14ac:dyDescent="0.35">
      <c r="A91" s="17"/>
      <c r="B91" s="18"/>
      <c r="C91" s="19"/>
      <c r="D91" s="23"/>
    </row>
    <row r="92" spans="1:4" x14ac:dyDescent="0.35">
      <c r="A92" s="17"/>
      <c r="B92" s="18"/>
      <c r="C92" s="19"/>
      <c r="D92" s="20"/>
    </row>
    <row r="93" spans="1:4" x14ac:dyDescent="0.35">
      <c r="A93" s="17"/>
      <c r="B93" s="18"/>
      <c r="C93" s="19"/>
      <c r="D93" s="23"/>
    </row>
    <row r="94" spans="1:4" x14ac:dyDescent="0.35">
      <c r="A94" s="17"/>
      <c r="B94" s="18"/>
      <c r="C94" s="19"/>
      <c r="D94" s="20"/>
    </row>
    <row r="95" spans="1:4" x14ac:dyDescent="0.35">
      <c r="A95" s="17"/>
      <c r="B95" s="18"/>
      <c r="C95" s="19"/>
      <c r="D95" s="20"/>
    </row>
    <row r="96" spans="1:4" x14ac:dyDescent="0.35">
      <c r="A96" s="17"/>
      <c r="B96" s="18"/>
      <c r="C96" s="19"/>
      <c r="D96" s="20"/>
    </row>
    <row r="97" spans="1:4" x14ac:dyDescent="0.35">
      <c r="A97" s="17"/>
      <c r="B97" s="18"/>
      <c r="C97" s="19"/>
      <c r="D97" s="20"/>
    </row>
    <row r="98" spans="1:4" x14ac:dyDescent="0.35">
      <c r="A98" s="17"/>
      <c r="B98" s="18"/>
      <c r="C98" s="19"/>
      <c r="D98" s="20"/>
    </row>
    <row r="99" spans="1:4" x14ac:dyDescent="0.35">
      <c r="A99" s="17"/>
      <c r="B99" s="18"/>
      <c r="C99" s="19"/>
      <c r="D99" s="20"/>
    </row>
    <row r="100" spans="1:4" x14ac:dyDescent="0.35">
      <c r="A100" s="17"/>
      <c r="B100" s="18"/>
      <c r="C100" s="19"/>
      <c r="D100" s="20"/>
    </row>
    <row r="101" spans="1:4" x14ac:dyDescent="0.35">
      <c r="A101" s="17"/>
      <c r="B101" s="18"/>
      <c r="C101" s="19"/>
      <c r="D101" s="20"/>
    </row>
    <row r="102" spans="1:4" x14ac:dyDescent="0.35">
      <c r="A102" s="17"/>
      <c r="B102" s="18"/>
      <c r="C102" s="19"/>
      <c r="D102" s="23"/>
    </row>
    <row r="103" spans="1:4" x14ac:dyDescent="0.35">
      <c r="A103" s="17"/>
      <c r="B103" s="18"/>
      <c r="C103" s="19"/>
      <c r="D103" s="23"/>
    </row>
    <row r="104" spans="1:4" x14ac:dyDescent="0.35">
      <c r="A104" s="17"/>
      <c r="B104" s="18"/>
      <c r="C104" s="19"/>
      <c r="D104" s="23"/>
    </row>
    <row r="105" spans="1:4" x14ac:dyDescent="0.35">
      <c r="A105" s="17"/>
      <c r="B105" s="18"/>
      <c r="C105" s="19"/>
      <c r="D105" s="23"/>
    </row>
    <row r="106" spans="1:4" x14ac:dyDescent="0.35">
      <c r="A106" s="17"/>
      <c r="B106" s="18"/>
      <c r="C106" s="19"/>
      <c r="D106" s="23"/>
    </row>
    <row r="107" spans="1:4" x14ac:dyDescent="0.35">
      <c r="A107" s="17"/>
      <c r="B107" s="18"/>
      <c r="C107" s="19"/>
      <c r="D107" s="23"/>
    </row>
    <row r="108" spans="1:4" x14ac:dyDescent="0.35">
      <c r="A108" s="17"/>
      <c r="B108" s="18"/>
      <c r="C108" s="19"/>
      <c r="D108" s="23"/>
    </row>
    <row r="109" spans="1:4" x14ac:dyDescent="0.35">
      <c r="A109" s="17"/>
      <c r="B109" s="18"/>
      <c r="C109" s="19"/>
      <c r="D109" s="23"/>
    </row>
    <row r="110" spans="1:4" x14ac:dyDescent="0.35">
      <c r="A110" s="17"/>
      <c r="B110" s="18"/>
      <c r="C110" s="19"/>
      <c r="D110" s="23"/>
    </row>
    <row r="111" spans="1:4" x14ac:dyDescent="0.35">
      <c r="A111" s="17"/>
      <c r="B111" s="18"/>
      <c r="C111" s="19"/>
      <c r="D111" s="23"/>
    </row>
    <row r="112" spans="1:4" x14ac:dyDescent="0.35">
      <c r="A112" s="17"/>
      <c r="B112" s="18"/>
      <c r="C112" s="19"/>
      <c r="D112" s="23"/>
    </row>
    <row r="113" spans="1:4" x14ac:dyDescent="0.35">
      <c r="A113" s="17"/>
      <c r="B113" s="18"/>
      <c r="C113" s="19"/>
      <c r="D113" s="23"/>
    </row>
    <row r="114" spans="1:4" x14ac:dyDescent="0.35">
      <c r="A114" s="17"/>
      <c r="B114" s="18"/>
      <c r="C114" s="19"/>
      <c r="D114" s="23"/>
    </row>
    <row r="115" spans="1:4" x14ac:dyDescent="0.35">
      <c r="A115" s="17"/>
      <c r="B115" s="18"/>
      <c r="C115" s="19"/>
      <c r="D115" s="23"/>
    </row>
    <row r="116" spans="1:4" x14ac:dyDescent="0.35">
      <c r="A116" s="17"/>
      <c r="B116" s="18"/>
      <c r="C116" s="19"/>
      <c r="D116" s="23"/>
    </row>
    <row r="117" spans="1:4" x14ac:dyDescent="0.35">
      <c r="A117" s="17"/>
      <c r="B117" s="18"/>
      <c r="C117" s="19"/>
      <c r="D117" s="23"/>
    </row>
    <row r="118" spans="1:4" x14ac:dyDescent="0.35">
      <c r="A118" s="17"/>
      <c r="B118" s="18"/>
      <c r="C118" s="19"/>
      <c r="D118" s="23"/>
    </row>
    <row r="119" spans="1:4" x14ac:dyDescent="0.35">
      <c r="A119" s="17"/>
      <c r="B119" s="18"/>
      <c r="C119" s="19"/>
      <c r="D119" s="23"/>
    </row>
    <row r="120" spans="1:4" x14ac:dyDescent="0.35">
      <c r="A120" s="17"/>
      <c r="B120" s="18"/>
      <c r="C120" s="19"/>
      <c r="D120" s="23"/>
    </row>
    <row r="121" spans="1:4" x14ac:dyDescent="0.35">
      <c r="A121" s="17"/>
      <c r="B121" s="18"/>
      <c r="C121" s="19"/>
      <c r="D121" s="23"/>
    </row>
    <row r="122" spans="1:4" x14ac:dyDescent="0.35">
      <c r="A122" s="17"/>
      <c r="B122" s="18"/>
      <c r="C122" s="19"/>
      <c r="D122" s="28"/>
    </row>
    <row r="123" spans="1:4" x14ac:dyDescent="0.35">
      <c r="A123" s="17"/>
      <c r="B123" s="18"/>
      <c r="C123" s="19"/>
      <c r="D123" s="28"/>
    </row>
    <row r="124" spans="1:4" x14ac:dyDescent="0.35">
      <c r="A124" s="17"/>
      <c r="B124" s="18"/>
      <c r="C124" s="19"/>
      <c r="D124" s="28"/>
    </row>
    <row r="125" spans="1:4" x14ac:dyDescent="0.35">
      <c r="A125" s="17"/>
      <c r="B125" s="18"/>
      <c r="C125" s="19"/>
      <c r="D125" s="28"/>
    </row>
    <row r="126" spans="1:4" x14ac:dyDescent="0.35">
      <c r="A126" s="17"/>
      <c r="B126" s="18"/>
      <c r="C126" s="19"/>
      <c r="D126" s="28"/>
    </row>
    <row r="127" spans="1:4" x14ac:dyDescent="0.35">
      <c r="A127" s="17"/>
      <c r="B127" s="18"/>
      <c r="C127" s="19"/>
      <c r="D127" s="28"/>
    </row>
    <row r="128" spans="1:4" x14ac:dyDescent="0.35">
      <c r="A128" s="17"/>
      <c r="B128" s="18"/>
      <c r="C128" s="19"/>
      <c r="D128" s="28"/>
    </row>
    <row r="129" spans="1:4" x14ac:dyDescent="0.35">
      <c r="A129" s="17"/>
      <c r="B129" s="18"/>
      <c r="C129" s="19"/>
      <c r="D129" s="23"/>
    </row>
    <row r="130" spans="1:4" x14ac:dyDescent="0.35">
      <c r="A130" s="17"/>
      <c r="B130" s="18"/>
      <c r="C130" s="19"/>
      <c r="D130" s="20"/>
    </row>
    <row r="131" spans="1:4" x14ac:dyDescent="0.35">
      <c r="A131" s="17"/>
      <c r="B131" s="18"/>
      <c r="C131" s="19"/>
      <c r="D131" s="23"/>
    </row>
    <row r="132" spans="1:4" x14ac:dyDescent="0.35">
      <c r="A132" s="17"/>
      <c r="B132" s="18"/>
      <c r="C132" s="27"/>
      <c r="D132" s="23"/>
    </row>
    <row r="133" spans="1:4" x14ac:dyDescent="0.35">
      <c r="A133" s="17"/>
      <c r="B133" s="18"/>
      <c r="C133" s="19"/>
      <c r="D133" s="23"/>
    </row>
    <row r="134" spans="1:4" x14ac:dyDescent="0.35">
      <c r="A134" s="17"/>
      <c r="B134" s="18"/>
      <c r="C134" s="19"/>
      <c r="D134" s="20"/>
    </row>
    <row r="135" spans="1:4" x14ac:dyDescent="0.35">
      <c r="A135" s="17"/>
      <c r="B135" s="18"/>
      <c r="C135" s="19"/>
      <c r="D135" s="23"/>
    </row>
    <row r="136" spans="1:4" x14ac:dyDescent="0.35">
      <c r="A136" s="17"/>
      <c r="B136" s="18"/>
      <c r="C136" s="19"/>
      <c r="D136" s="20"/>
    </row>
    <row r="137" spans="1:4" x14ac:dyDescent="0.35">
      <c r="A137" s="17"/>
      <c r="B137" s="18"/>
      <c r="C137" s="19"/>
      <c r="D137" s="20"/>
    </row>
    <row r="138" spans="1:4" x14ac:dyDescent="0.35">
      <c r="A138" s="17"/>
      <c r="B138" s="18"/>
      <c r="C138" s="19"/>
      <c r="D138" s="20"/>
    </row>
    <row r="139" spans="1:4" x14ac:dyDescent="0.35">
      <c r="A139" s="17"/>
      <c r="B139" s="18"/>
      <c r="C139" s="19"/>
      <c r="D139" s="20"/>
    </row>
    <row r="140" spans="1:4" x14ac:dyDescent="0.35">
      <c r="A140" s="17"/>
      <c r="B140" s="18"/>
      <c r="C140" s="19"/>
      <c r="D140" s="20"/>
    </row>
    <row r="141" spans="1:4" x14ac:dyDescent="0.35">
      <c r="A141" s="17"/>
      <c r="B141" s="18"/>
      <c r="C141" s="19"/>
      <c r="D141" s="20"/>
    </row>
    <row r="142" spans="1:4" x14ac:dyDescent="0.35">
      <c r="A142" s="17"/>
      <c r="B142" s="18"/>
      <c r="C142" s="19"/>
      <c r="D142" s="20"/>
    </row>
    <row r="143" spans="1:4" x14ac:dyDescent="0.35">
      <c r="A143" s="17"/>
      <c r="B143" s="18"/>
      <c r="C143" s="19"/>
      <c r="D143" s="23"/>
    </row>
    <row r="144" spans="1:4" x14ac:dyDescent="0.35">
      <c r="A144" s="17"/>
      <c r="B144" s="18"/>
      <c r="C144" s="19"/>
      <c r="D144" s="23"/>
    </row>
    <row r="145" spans="1:4" x14ac:dyDescent="0.35">
      <c r="A145" s="17"/>
      <c r="B145" s="18"/>
      <c r="C145" s="19"/>
      <c r="D145" s="23"/>
    </row>
    <row r="146" spans="1:4" x14ac:dyDescent="0.35">
      <c r="A146" s="17"/>
      <c r="B146" s="18"/>
      <c r="C146" s="19"/>
      <c r="D146" s="23"/>
    </row>
    <row r="147" spans="1:4" x14ac:dyDescent="0.35">
      <c r="A147" s="17"/>
      <c r="B147" s="18"/>
      <c r="C147" s="19"/>
      <c r="D147" s="23"/>
    </row>
    <row r="148" spans="1:4" x14ac:dyDescent="0.35">
      <c r="A148" s="17"/>
      <c r="B148" s="18"/>
      <c r="C148" s="19"/>
      <c r="D148" s="23"/>
    </row>
    <row r="149" spans="1:4" x14ac:dyDescent="0.35">
      <c r="A149" s="17"/>
      <c r="B149" s="18"/>
      <c r="C149" s="19"/>
      <c r="D149" s="23"/>
    </row>
    <row r="150" spans="1:4" x14ac:dyDescent="0.35">
      <c r="A150" s="17"/>
      <c r="B150" s="18"/>
      <c r="C150" s="19"/>
      <c r="D150" s="23"/>
    </row>
    <row r="151" spans="1:4" x14ac:dyDescent="0.35">
      <c r="A151" s="17"/>
      <c r="B151" s="18"/>
      <c r="C151" s="19"/>
      <c r="D151" s="23"/>
    </row>
    <row r="152" spans="1:4" x14ac:dyDescent="0.35">
      <c r="A152" s="17"/>
      <c r="B152" s="18"/>
      <c r="C152" s="19"/>
      <c r="D152" s="23"/>
    </row>
    <row r="153" spans="1:4" x14ac:dyDescent="0.35">
      <c r="A153" s="17"/>
      <c r="B153" s="18"/>
      <c r="C153" s="19"/>
      <c r="D153" s="23"/>
    </row>
    <row r="154" spans="1:4" x14ac:dyDescent="0.35">
      <c r="A154" s="17"/>
      <c r="B154" s="18"/>
      <c r="C154" s="19"/>
      <c r="D154" s="23"/>
    </row>
    <row r="155" spans="1:4" x14ac:dyDescent="0.35">
      <c r="A155" s="17"/>
      <c r="B155" s="18"/>
      <c r="C155" s="19"/>
      <c r="D155" s="23"/>
    </row>
    <row r="156" spans="1:4" x14ac:dyDescent="0.35">
      <c r="A156" s="17"/>
      <c r="B156" s="18"/>
      <c r="C156" s="19"/>
      <c r="D156" s="23"/>
    </row>
    <row r="157" spans="1:4" x14ac:dyDescent="0.35">
      <c r="A157" s="17"/>
      <c r="B157" s="18"/>
      <c r="C157" s="19"/>
      <c r="D157" s="23"/>
    </row>
    <row r="158" spans="1:4" x14ac:dyDescent="0.35">
      <c r="A158" s="17"/>
      <c r="B158" s="18"/>
      <c r="C158" s="19"/>
      <c r="D158" s="23"/>
    </row>
    <row r="159" spans="1:4" x14ac:dyDescent="0.35">
      <c r="A159" s="17"/>
      <c r="B159" s="18"/>
      <c r="C159" s="19"/>
      <c r="D159" s="23"/>
    </row>
    <row r="160" spans="1:4" x14ac:dyDescent="0.35">
      <c r="A160" s="17"/>
      <c r="B160" s="18"/>
      <c r="C160" s="19"/>
      <c r="D160" s="23"/>
    </row>
    <row r="161" spans="1:4" x14ac:dyDescent="0.35">
      <c r="A161" s="17"/>
      <c r="B161" s="18"/>
      <c r="C161" s="19"/>
      <c r="D161" s="23"/>
    </row>
    <row r="162" spans="1:4" x14ac:dyDescent="0.35">
      <c r="A162" s="17"/>
      <c r="B162" s="18"/>
      <c r="C162" s="19"/>
      <c r="D162" s="23"/>
    </row>
    <row r="163" spans="1:4" x14ac:dyDescent="0.35">
      <c r="A163" s="17"/>
      <c r="B163" s="18"/>
      <c r="C163" s="19"/>
      <c r="D163" s="23"/>
    </row>
    <row r="164" spans="1:4" x14ac:dyDescent="0.35">
      <c r="A164" s="17"/>
      <c r="B164" s="18"/>
      <c r="C164" s="19"/>
      <c r="D164" s="28"/>
    </row>
    <row r="165" spans="1:4" x14ac:dyDescent="0.35">
      <c r="A165" s="17"/>
      <c r="B165" s="18"/>
      <c r="C165" s="19"/>
      <c r="D165" s="28"/>
    </row>
    <row r="166" spans="1:4" x14ac:dyDescent="0.35">
      <c r="A166" s="17"/>
      <c r="B166" s="18"/>
      <c r="C166" s="19"/>
      <c r="D166" s="28"/>
    </row>
    <row r="167" spans="1:4" x14ac:dyDescent="0.35">
      <c r="A167" s="17"/>
      <c r="B167" s="18"/>
      <c r="C167" s="19"/>
      <c r="D167" s="28"/>
    </row>
    <row r="168" spans="1:4" x14ac:dyDescent="0.35">
      <c r="A168" s="17"/>
      <c r="B168" s="18"/>
      <c r="C168" s="19"/>
      <c r="D168" s="28"/>
    </row>
    <row r="169" spans="1:4" x14ac:dyDescent="0.35">
      <c r="A169" s="17"/>
      <c r="B169" s="18"/>
      <c r="C169" s="19"/>
      <c r="D169" s="20"/>
    </row>
    <row r="170" spans="1:4" x14ac:dyDescent="0.35">
      <c r="A170" s="17"/>
      <c r="B170" s="18"/>
      <c r="C170" s="19"/>
      <c r="D170" s="23"/>
    </row>
    <row r="171" spans="1:4" x14ac:dyDescent="0.35">
      <c r="A171" s="17"/>
      <c r="B171" s="18"/>
      <c r="C171" s="27"/>
      <c r="D171" s="23"/>
    </row>
    <row r="172" spans="1:4" x14ac:dyDescent="0.35">
      <c r="A172" s="17"/>
      <c r="B172" s="18"/>
      <c r="C172" s="19"/>
      <c r="D172" s="23"/>
    </row>
    <row r="173" spans="1:4" x14ac:dyDescent="0.35">
      <c r="A173" s="17"/>
      <c r="B173" s="18"/>
      <c r="C173" s="19"/>
      <c r="D173" s="20"/>
    </row>
    <row r="174" spans="1:4" x14ac:dyDescent="0.35">
      <c r="A174" s="17"/>
      <c r="B174" s="18"/>
      <c r="C174" s="19"/>
      <c r="D174" s="23"/>
    </row>
    <row r="175" spans="1:4" x14ac:dyDescent="0.35">
      <c r="A175" s="17"/>
      <c r="B175" s="18"/>
      <c r="C175" s="19"/>
      <c r="D175" s="23"/>
    </row>
    <row r="176" spans="1:4" x14ac:dyDescent="0.35">
      <c r="A176" s="17"/>
      <c r="B176" s="18"/>
      <c r="C176" s="19"/>
      <c r="D176" s="23"/>
    </row>
    <row r="177" spans="1:4" x14ac:dyDescent="0.35">
      <c r="A177" s="17"/>
      <c r="B177" s="18"/>
      <c r="C177" s="19"/>
      <c r="D177" s="20"/>
    </row>
    <row r="178" spans="1:4" x14ac:dyDescent="0.35">
      <c r="A178" s="17"/>
      <c r="B178" s="18"/>
      <c r="C178" s="19"/>
      <c r="D178" s="20"/>
    </row>
    <row r="179" spans="1:4" x14ac:dyDescent="0.35">
      <c r="A179" s="17"/>
      <c r="B179" s="18"/>
      <c r="C179" s="19"/>
      <c r="D179" s="20"/>
    </row>
    <row r="180" spans="1:4" x14ac:dyDescent="0.35">
      <c r="A180" s="17"/>
      <c r="B180" s="18"/>
      <c r="C180" s="19"/>
      <c r="D180" s="23"/>
    </row>
    <row r="181" spans="1:4" x14ac:dyDescent="0.35">
      <c r="A181" s="17"/>
      <c r="B181" s="18"/>
      <c r="C181" s="19"/>
      <c r="D181" s="23"/>
    </row>
    <row r="182" spans="1:4" x14ac:dyDescent="0.35">
      <c r="A182" s="17"/>
      <c r="B182" s="18"/>
      <c r="C182" s="19"/>
      <c r="D182" s="23"/>
    </row>
    <row r="183" spans="1:4" x14ac:dyDescent="0.35">
      <c r="A183" s="17"/>
      <c r="B183" s="18"/>
      <c r="C183" s="19"/>
      <c r="D183" s="23"/>
    </row>
    <row r="184" spans="1:4" x14ac:dyDescent="0.35">
      <c r="A184" s="17"/>
      <c r="B184" s="18"/>
      <c r="C184" s="19"/>
      <c r="D184" s="23"/>
    </row>
    <row r="185" spans="1:4" x14ac:dyDescent="0.35">
      <c r="A185" s="17"/>
      <c r="B185" s="18"/>
      <c r="C185" s="19"/>
      <c r="D185" s="23"/>
    </row>
    <row r="186" spans="1:4" x14ac:dyDescent="0.35">
      <c r="A186" s="17"/>
      <c r="B186" s="18"/>
      <c r="C186" s="19"/>
      <c r="D186" s="23"/>
    </row>
    <row r="187" spans="1:4" x14ac:dyDescent="0.35">
      <c r="A187" s="17"/>
      <c r="B187" s="18"/>
      <c r="C187" s="19"/>
      <c r="D187" s="23"/>
    </row>
    <row r="188" spans="1:4" x14ac:dyDescent="0.35">
      <c r="A188" s="17"/>
      <c r="B188" s="18"/>
      <c r="C188" s="19"/>
      <c r="D188" s="23"/>
    </row>
    <row r="189" spans="1:4" x14ac:dyDescent="0.35">
      <c r="A189" s="17"/>
      <c r="B189" s="18"/>
      <c r="C189" s="19"/>
      <c r="D189" s="23"/>
    </row>
    <row r="190" spans="1:4" x14ac:dyDescent="0.35">
      <c r="A190" s="17"/>
      <c r="B190" s="18"/>
      <c r="C190" s="19"/>
      <c r="D190" s="23"/>
    </row>
    <row r="191" spans="1:4" x14ac:dyDescent="0.35">
      <c r="A191" s="17"/>
      <c r="B191" s="18"/>
      <c r="C191" s="19"/>
      <c r="D191" s="23"/>
    </row>
    <row r="192" spans="1:4" x14ac:dyDescent="0.35">
      <c r="A192" s="17"/>
      <c r="B192" s="18"/>
      <c r="C192" s="19"/>
      <c r="D192" s="23"/>
    </row>
    <row r="193" spans="1:4" x14ac:dyDescent="0.35">
      <c r="A193" s="17"/>
      <c r="B193" s="18"/>
      <c r="C193" s="19"/>
      <c r="D193" s="23"/>
    </row>
    <row r="194" spans="1:4" x14ac:dyDescent="0.35">
      <c r="A194" s="17"/>
      <c r="B194" s="18"/>
      <c r="C194" s="19"/>
      <c r="D194" s="23"/>
    </row>
    <row r="195" spans="1:4" x14ac:dyDescent="0.35">
      <c r="A195" s="17"/>
      <c r="B195" s="18"/>
      <c r="C195" s="19"/>
      <c r="D195" s="23"/>
    </row>
    <row r="196" spans="1:4" x14ac:dyDescent="0.35">
      <c r="A196" s="17"/>
      <c r="B196" s="18"/>
      <c r="C196" s="19"/>
      <c r="D196" s="23"/>
    </row>
    <row r="197" spans="1:4" x14ac:dyDescent="0.35">
      <c r="A197" s="17"/>
      <c r="B197" s="18"/>
      <c r="C197" s="19"/>
      <c r="D197" s="23"/>
    </row>
    <row r="198" spans="1:4" x14ac:dyDescent="0.35">
      <c r="A198" s="17"/>
      <c r="B198" s="18"/>
      <c r="C198" s="19"/>
      <c r="D198" s="23"/>
    </row>
    <row r="199" spans="1:4" x14ac:dyDescent="0.35">
      <c r="A199" s="17"/>
      <c r="B199" s="18"/>
      <c r="C199" s="19"/>
      <c r="D199" s="23"/>
    </row>
    <row r="200" spans="1:4" x14ac:dyDescent="0.35">
      <c r="A200" s="17"/>
      <c r="B200" s="18"/>
      <c r="C200" s="19"/>
      <c r="D200" s="23"/>
    </row>
    <row r="201" spans="1:4" x14ac:dyDescent="0.35">
      <c r="A201" s="17"/>
      <c r="B201" s="18"/>
      <c r="C201" s="19"/>
      <c r="D201" s="23"/>
    </row>
    <row r="202" spans="1:4" x14ac:dyDescent="0.35">
      <c r="A202" s="17"/>
      <c r="B202" s="18"/>
      <c r="C202" s="19"/>
      <c r="D202" s="23"/>
    </row>
    <row r="203" spans="1:4" x14ac:dyDescent="0.35">
      <c r="A203" s="17"/>
      <c r="B203" s="18"/>
      <c r="C203" s="19"/>
      <c r="D203" s="20"/>
    </row>
    <row r="204" spans="1:4" x14ac:dyDescent="0.35">
      <c r="A204" s="17"/>
      <c r="B204" s="18"/>
      <c r="C204" s="19"/>
      <c r="D204" s="23"/>
    </row>
    <row r="205" spans="1:4" x14ac:dyDescent="0.35">
      <c r="A205" s="17"/>
      <c r="B205" s="18"/>
      <c r="C205" s="27"/>
      <c r="D205" s="23"/>
    </row>
    <row r="206" spans="1:4" x14ac:dyDescent="0.35">
      <c r="A206" s="17"/>
      <c r="B206" s="18"/>
      <c r="C206" s="19"/>
      <c r="D206" s="23"/>
    </row>
    <row r="207" spans="1:4" x14ac:dyDescent="0.35">
      <c r="A207" s="17"/>
      <c r="B207" s="18"/>
      <c r="C207" s="19"/>
      <c r="D207" s="20"/>
    </row>
    <row r="208" spans="1:4" x14ac:dyDescent="0.35">
      <c r="A208" s="17"/>
      <c r="B208" s="18"/>
      <c r="C208" s="19"/>
      <c r="D208" s="23"/>
    </row>
    <row r="209" spans="1:4" x14ac:dyDescent="0.35">
      <c r="A209" s="17"/>
      <c r="B209" s="18"/>
      <c r="C209" s="19"/>
      <c r="D209" s="23"/>
    </row>
    <row r="210" spans="1:4" x14ac:dyDescent="0.35">
      <c r="A210" s="17"/>
      <c r="B210" s="18"/>
      <c r="C210" s="19"/>
      <c r="D210" s="20"/>
    </row>
    <row r="211" spans="1:4" x14ac:dyDescent="0.35">
      <c r="A211" s="17"/>
      <c r="B211" s="18"/>
      <c r="C211" s="19"/>
      <c r="D211" s="20"/>
    </row>
    <row r="212" spans="1:4" x14ac:dyDescent="0.35">
      <c r="A212" s="17"/>
      <c r="B212" s="18"/>
      <c r="C212" s="19"/>
      <c r="D212" s="20"/>
    </row>
    <row r="213" spans="1:4" x14ac:dyDescent="0.35">
      <c r="A213" s="17"/>
      <c r="B213" s="18"/>
      <c r="C213" s="19"/>
      <c r="D213" s="20"/>
    </row>
    <row r="214" spans="1:4" x14ac:dyDescent="0.35">
      <c r="A214" s="17"/>
      <c r="B214" s="18"/>
      <c r="C214" s="19"/>
      <c r="D214" s="23"/>
    </row>
    <row r="215" spans="1:4" x14ac:dyDescent="0.35">
      <c r="A215" s="17"/>
      <c r="B215" s="18"/>
      <c r="C215" s="19"/>
      <c r="D215" s="23"/>
    </row>
    <row r="216" spans="1:4" x14ac:dyDescent="0.35">
      <c r="A216" s="17"/>
      <c r="B216" s="18"/>
      <c r="C216" s="19"/>
      <c r="D216" s="23"/>
    </row>
    <row r="217" spans="1:4" x14ac:dyDescent="0.35">
      <c r="A217" s="17"/>
      <c r="B217" s="18"/>
      <c r="C217" s="19"/>
      <c r="D217" s="23"/>
    </row>
    <row r="218" spans="1:4" x14ac:dyDescent="0.35">
      <c r="A218" s="17"/>
      <c r="B218" s="18"/>
      <c r="C218" s="19"/>
      <c r="D218" s="23"/>
    </row>
    <row r="219" spans="1:4" x14ac:dyDescent="0.35">
      <c r="A219" s="17"/>
      <c r="B219" s="18"/>
      <c r="C219" s="19"/>
      <c r="D219" s="23"/>
    </row>
    <row r="220" spans="1:4" x14ac:dyDescent="0.35">
      <c r="A220" s="17"/>
      <c r="B220" s="18"/>
      <c r="C220" s="19"/>
      <c r="D220" s="23"/>
    </row>
    <row r="221" spans="1:4" x14ac:dyDescent="0.35">
      <c r="A221" s="17"/>
      <c r="B221" s="18"/>
      <c r="C221" s="19"/>
      <c r="D221" s="23"/>
    </row>
    <row r="222" spans="1:4" x14ac:dyDescent="0.35">
      <c r="A222" s="17"/>
      <c r="B222" s="18"/>
      <c r="C222" s="19"/>
      <c r="D222" s="23"/>
    </row>
    <row r="223" spans="1:4" x14ac:dyDescent="0.35">
      <c r="A223" s="17"/>
      <c r="B223" s="18"/>
      <c r="C223" s="19"/>
      <c r="D223" s="23"/>
    </row>
    <row r="224" spans="1:4" x14ac:dyDescent="0.35">
      <c r="A224" s="17"/>
      <c r="B224" s="18"/>
      <c r="C224" s="19"/>
      <c r="D224" s="23"/>
    </row>
    <row r="225" spans="1:4" x14ac:dyDescent="0.35">
      <c r="A225" s="17"/>
      <c r="B225" s="18"/>
      <c r="C225" s="19"/>
      <c r="D225" s="23"/>
    </row>
    <row r="226" spans="1:4" x14ac:dyDescent="0.35">
      <c r="A226" s="17"/>
      <c r="B226" s="18"/>
      <c r="C226" s="19"/>
      <c r="D226" s="23"/>
    </row>
    <row r="227" spans="1:4" x14ac:dyDescent="0.35">
      <c r="A227" s="17"/>
      <c r="B227" s="18"/>
      <c r="C227" s="19"/>
      <c r="D227" s="23"/>
    </row>
    <row r="228" spans="1:4" x14ac:dyDescent="0.35">
      <c r="A228" s="17"/>
      <c r="B228" s="18"/>
      <c r="C228" s="19"/>
      <c r="D228" s="23"/>
    </row>
    <row r="229" spans="1:4" x14ac:dyDescent="0.35">
      <c r="A229" s="17"/>
      <c r="B229" s="18"/>
      <c r="C229" s="19"/>
      <c r="D229" s="23"/>
    </row>
    <row r="230" spans="1:4" x14ac:dyDescent="0.35">
      <c r="A230" s="17"/>
      <c r="B230" s="18"/>
      <c r="C230" s="19"/>
      <c r="D230" s="23"/>
    </row>
    <row r="231" spans="1:4" x14ac:dyDescent="0.35">
      <c r="A231" s="17"/>
      <c r="B231" s="18"/>
      <c r="C231" s="19"/>
      <c r="D231" s="23"/>
    </row>
    <row r="232" spans="1:4" x14ac:dyDescent="0.35">
      <c r="A232" s="17"/>
      <c r="B232" s="18"/>
      <c r="C232" s="19"/>
      <c r="D232" s="23"/>
    </row>
    <row r="233" spans="1:4" x14ac:dyDescent="0.35">
      <c r="A233" s="17"/>
      <c r="B233" s="18"/>
      <c r="C233" s="19"/>
      <c r="D233" s="23"/>
    </row>
    <row r="234" spans="1:4" x14ac:dyDescent="0.35">
      <c r="A234" s="17"/>
      <c r="B234" s="18"/>
      <c r="C234" s="19"/>
      <c r="D234" s="23"/>
    </row>
    <row r="235" spans="1:4" x14ac:dyDescent="0.35">
      <c r="A235" s="17"/>
      <c r="B235" s="18"/>
      <c r="C235" s="19"/>
      <c r="D235" s="23"/>
    </row>
    <row r="236" spans="1:4" x14ac:dyDescent="0.35">
      <c r="A236" s="17"/>
      <c r="B236" s="18"/>
      <c r="C236" s="19"/>
      <c r="D236" s="23"/>
    </row>
    <row r="237" spans="1:4" x14ac:dyDescent="0.35">
      <c r="A237" s="17"/>
      <c r="B237" s="18"/>
      <c r="C237" s="19"/>
      <c r="D237" s="23"/>
    </row>
    <row r="238" spans="1:4" x14ac:dyDescent="0.35">
      <c r="A238" s="17"/>
      <c r="B238" s="18"/>
      <c r="C238" s="19"/>
      <c r="D238" s="23"/>
    </row>
    <row r="239" spans="1:4" x14ac:dyDescent="0.35">
      <c r="A239" s="17"/>
      <c r="B239" s="18"/>
      <c r="C239" s="19"/>
      <c r="D239" s="20"/>
    </row>
    <row r="240" spans="1:4" x14ac:dyDescent="0.35">
      <c r="A240" s="17"/>
      <c r="B240" s="18"/>
      <c r="C240" s="19"/>
      <c r="D240" s="20"/>
    </row>
    <row r="241" spans="1:4" x14ac:dyDescent="0.35">
      <c r="A241" s="17"/>
      <c r="B241" s="18"/>
      <c r="C241" s="19"/>
      <c r="D241" s="20"/>
    </row>
    <row r="242" spans="1:4" x14ac:dyDescent="0.35">
      <c r="A242" s="17"/>
      <c r="B242" s="18"/>
      <c r="C242" s="19"/>
      <c r="D242" s="20"/>
    </row>
    <row r="243" spans="1:4" x14ac:dyDescent="0.35">
      <c r="A243" s="17"/>
      <c r="B243" s="18"/>
      <c r="C243" s="19"/>
      <c r="D243" s="23"/>
    </row>
    <row r="244" spans="1:4" x14ac:dyDescent="0.35">
      <c r="A244" s="17"/>
      <c r="B244" s="18"/>
      <c r="C244" s="19"/>
      <c r="D244" s="23"/>
    </row>
  </sheetData>
  <autoFilter ref="A1:D248" xr:uid="{00000000-0009-0000-0000-000004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400-000000000000}">
          <x14:formula1>
            <xm:f>'09-25'!#REF!</xm:f>
          </x14:formula1>
          <xm:sqref>D2:D6 D8:D46</xm:sqref>
        </x14:dataValidation>
        <x14:dataValidation type="list" allowBlank="1" xr:uid="{00000000-0002-0000-0400-000001000000}">
          <x14:formula1>
            <xm:f>'08-25'!#REF!</xm:f>
          </x14:formula1>
          <xm:sqref>D47:D51 D53:D87</xm:sqref>
        </x14:dataValidation>
        <x14:dataValidation type="list" allowBlank="1" xr:uid="{00000000-0002-0000-0400-000002000000}">
          <x14:formula1>
            <xm:f>'06-25'!#REF!</xm:f>
          </x14:formula1>
          <xm:sqref>D130:D168</xm:sqref>
        </x14:dataValidation>
        <x14:dataValidation type="list" allowBlank="1" xr:uid="{00000000-0002-0000-0400-000003000000}">
          <x14:formula1>
            <xm:f>'07-25'!#REF!</xm:f>
          </x14:formula1>
          <xm:sqref>D7 D52 D88:D129</xm:sqref>
        </x14:dataValidation>
        <x14:dataValidation type="list" allowBlank="1" xr:uid="{00000000-0002-0000-0400-000004000000}">
          <x14:formula1>
            <xm:f>'04-25'!#REF!</xm:f>
          </x14:formula1>
          <xm:sqref>D203:D244</xm:sqref>
        </x14:dataValidation>
        <x14:dataValidation type="list" allowBlank="1" xr:uid="{00000000-0002-0000-0400-000005000000}">
          <x14:formula1>
            <xm:f>'05-25'!#REF!</xm:f>
          </x14:formula1>
          <xm:sqref>D169:D202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9"/>
  <sheetViews>
    <sheetView workbookViewId="0"/>
  </sheetViews>
  <sheetFormatPr defaultColWidth="12.59765625" defaultRowHeight="15.75" customHeight="1" x14ac:dyDescent="0.35"/>
  <cols>
    <col min="1" max="3" width="12.59765625" customWidth="1"/>
    <col min="4" max="4" width="14.73046875" customWidth="1"/>
    <col min="5" max="15" width="12.59765625" customWidth="1"/>
  </cols>
  <sheetData>
    <row r="1" spans="1:15" ht="330" customHeight="1" x14ac:dyDescent="0.35"/>
    <row r="3" spans="1:15" ht="22.5" customHeight="1" x14ac:dyDescent="0.35">
      <c r="A3" s="91" t="s">
        <v>119</v>
      </c>
      <c r="B3" s="91" t="s">
        <v>19</v>
      </c>
      <c r="C3" s="91" t="s">
        <v>16</v>
      </c>
      <c r="D3" s="91" t="s">
        <v>63</v>
      </c>
      <c r="E3" s="91" t="s">
        <v>27</v>
      </c>
      <c r="F3" s="91" t="s">
        <v>50</v>
      </c>
      <c r="G3" s="91" t="s">
        <v>38</v>
      </c>
      <c r="H3" s="91" t="s">
        <v>52</v>
      </c>
      <c r="I3" s="91" t="s">
        <v>41</v>
      </c>
      <c r="J3" s="91" t="s">
        <v>25</v>
      </c>
      <c r="K3" s="91" t="s">
        <v>13</v>
      </c>
      <c r="L3" s="91" t="s">
        <v>21</v>
      </c>
      <c r="M3" s="91" t="s">
        <v>49</v>
      </c>
      <c r="N3" s="91" t="s">
        <v>9</v>
      </c>
      <c r="O3" s="91" t="s">
        <v>29</v>
      </c>
    </row>
    <row r="4" spans="1:15" ht="22.5" customHeight="1" x14ac:dyDescent="0.35">
      <c r="A4" s="92">
        <v>45748</v>
      </c>
      <c r="B4" s="93">
        <v>9600</v>
      </c>
      <c r="C4" s="93">
        <v>1783</v>
      </c>
      <c r="D4" s="93">
        <v>28302</v>
      </c>
      <c r="E4" s="93">
        <v>6811</v>
      </c>
      <c r="F4" s="93">
        <v>650</v>
      </c>
      <c r="G4" s="93">
        <v>7679</v>
      </c>
      <c r="H4" s="93">
        <v>234</v>
      </c>
      <c r="I4" s="93">
        <v>12560</v>
      </c>
      <c r="J4" s="93">
        <v>5006</v>
      </c>
      <c r="K4" s="93">
        <v>23500</v>
      </c>
      <c r="L4" s="93">
        <v>166000</v>
      </c>
      <c r="M4" s="93">
        <v>1400</v>
      </c>
      <c r="N4" s="93">
        <v>8001</v>
      </c>
      <c r="O4" s="93"/>
    </row>
    <row r="5" spans="1:15" ht="22.5" customHeight="1" x14ac:dyDescent="0.35">
      <c r="A5" s="92">
        <v>45778</v>
      </c>
      <c r="B5" s="93">
        <v>9600</v>
      </c>
      <c r="C5" s="93">
        <v>2094</v>
      </c>
      <c r="D5" s="93"/>
      <c r="E5" s="93">
        <v>1770</v>
      </c>
      <c r="F5" s="93"/>
      <c r="G5" s="93">
        <v>8226</v>
      </c>
      <c r="H5" s="93">
        <v>771</v>
      </c>
      <c r="I5" s="93">
        <v>3897</v>
      </c>
      <c r="J5" s="93">
        <v>11154</v>
      </c>
      <c r="K5" s="93">
        <v>23500</v>
      </c>
      <c r="L5" s="93">
        <v>150000</v>
      </c>
      <c r="M5" s="93">
        <v>2297</v>
      </c>
      <c r="N5" s="93">
        <v>5703</v>
      </c>
      <c r="O5" s="93"/>
    </row>
    <row r="6" spans="1:15" ht="22.5" customHeight="1" x14ac:dyDescent="0.35">
      <c r="A6" s="92">
        <v>45809</v>
      </c>
      <c r="B6" s="93">
        <v>9600</v>
      </c>
      <c r="C6" s="93">
        <v>499</v>
      </c>
      <c r="D6" s="93"/>
      <c r="E6" s="93">
        <v>3829</v>
      </c>
      <c r="F6" s="93"/>
      <c r="G6" s="93">
        <v>8953</v>
      </c>
      <c r="H6" s="93"/>
      <c r="I6" s="93">
        <v>1148</v>
      </c>
      <c r="J6" s="93">
        <v>2832</v>
      </c>
      <c r="K6" s="93">
        <v>23500</v>
      </c>
      <c r="L6" s="93">
        <v>320000</v>
      </c>
      <c r="M6" s="93">
        <v>297</v>
      </c>
      <c r="N6" s="93">
        <v>13169</v>
      </c>
      <c r="O6" s="93">
        <v>14872</v>
      </c>
    </row>
    <row r="7" spans="1:15" ht="22.5" customHeight="1" x14ac:dyDescent="0.35">
      <c r="A7" s="92">
        <v>45839</v>
      </c>
      <c r="B7" s="93">
        <v>9600</v>
      </c>
      <c r="C7" s="93">
        <v>499</v>
      </c>
      <c r="D7" s="93"/>
      <c r="E7" s="93">
        <v>5580</v>
      </c>
      <c r="F7" s="93">
        <v>408</v>
      </c>
      <c r="G7" s="93">
        <v>10116</v>
      </c>
      <c r="H7" s="93"/>
      <c r="I7" s="93">
        <v>4856</v>
      </c>
      <c r="J7" s="93">
        <v>1990</v>
      </c>
      <c r="K7" s="93">
        <v>83166</v>
      </c>
      <c r="L7" s="93">
        <v>166000</v>
      </c>
      <c r="M7" s="93">
        <v>2635</v>
      </c>
      <c r="N7" s="93">
        <v>1171</v>
      </c>
      <c r="O7" s="93">
        <v>3906</v>
      </c>
    </row>
    <row r="8" spans="1:15" ht="22.5" customHeight="1" x14ac:dyDescent="0.35">
      <c r="A8" s="92">
        <v>45870</v>
      </c>
      <c r="B8" s="93">
        <v>9600</v>
      </c>
      <c r="C8" s="93">
        <v>499</v>
      </c>
      <c r="D8" s="93"/>
      <c r="E8" s="93">
        <v>2601</v>
      </c>
      <c r="F8" s="93">
        <v>540</v>
      </c>
      <c r="G8" s="93">
        <v>9141</v>
      </c>
      <c r="H8" s="93"/>
      <c r="I8" s="93">
        <v>3764</v>
      </c>
      <c r="J8" s="93">
        <v>3549</v>
      </c>
      <c r="K8" s="93">
        <v>23500</v>
      </c>
      <c r="L8" s="93">
        <v>196000</v>
      </c>
      <c r="M8" s="93">
        <v>2125</v>
      </c>
      <c r="N8" s="93">
        <v>2711</v>
      </c>
      <c r="O8" s="93">
        <v>3549</v>
      </c>
    </row>
    <row r="9" spans="1:15" ht="22.5" customHeight="1" x14ac:dyDescent="0.35">
      <c r="A9" s="92">
        <v>45901</v>
      </c>
      <c r="B9" s="93">
        <v>9600</v>
      </c>
      <c r="C9" s="93">
        <v>977</v>
      </c>
      <c r="D9" s="93"/>
      <c r="E9" s="93">
        <v>4856</v>
      </c>
      <c r="F9" s="93"/>
      <c r="G9" s="93">
        <v>12127</v>
      </c>
      <c r="H9" s="93">
        <v>26212</v>
      </c>
      <c r="I9" s="93"/>
      <c r="J9" s="93">
        <v>8120</v>
      </c>
      <c r="K9" s="93">
        <v>37452</v>
      </c>
      <c r="L9" s="93">
        <v>86000</v>
      </c>
      <c r="M9" s="93">
        <v>320</v>
      </c>
      <c r="N9" s="93">
        <v>22874</v>
      </c>
      <c r="O9" s="93">
        <v>6499</v>
      </c>
    </row>
  </sheetData>
  <dataValidations count="2">
    <dataValidation type="custom" allowBlank="1" showDropDown="1" sqref="A4:A9" xr:uid="{00000000-0002-0000-0500-000000000000}">
      <formula1>OR(NOT(ISERROR(DATEVALUE(A4))), AND(ISNUMBER(A4), LEFT(CELL("format", A4))="D"))</formula1>
    </dataValidation>
    <dataValidation type="custom" allowBlank="1" showDropDown="1" sqref="B4:O9" xr:uid="{00000000-0002-0000-0500-000001000000}">
      <formula1>AND(ISNUMBER(B4),(NOT(OR(NOT(ISERROR(DATEVALUE(B4))), AND(ISNUMBER(B4), LEFT(CELL("format", B4))="D")))))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07-26</vt:lpstr>
      <vt:lpstr>06-26</vt:lpstr>
      <vt:lpstr>05-26</vt:lpstr>
      <vt:lpstr>04-26</vt:lpstr>
      <vt:lpstr>Analysis</vt:lpstr>
      <vt:lpstr>Jun 26 -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Arun Kamath</cp:lastModifiedBy>
  <dcterms:modified xsi:type="dcterms:W3CDTF">2026-07-18T14:25:52Z</dcterms:modified>
</cp:coreProperties>
</file>